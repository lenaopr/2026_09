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Downloads\"/>
    </mc:Choice>
  </mc:AlternateContent>
  <xr:revisionPtr revIDLastSave="0" documentId="13_ncr:1_{5CB6FFC2-C535-44EB-B02A-C4B6FAA8A4B2}" xr6:coauthVersionLast="36" xr6:coauthVersionMax="36" xr10:uidLastSave="{00000000-0000-0000-0000-000000000000}"/>
  <bookViews>
    <workbookView xWindow="0" yWindow="0" windowWidth="21060" windowHeight="11205" activeTab="4" xr2:uid="{00000000-000D-0000-FFFF-FFFF00000000}"/>
  </bookViews>
  <sheets>
    <sheet name="China" sheetId="1" r:id="rId1"/>
    <sheet name="Hong Kong" sheetId="2" r:id="rId2"/>
    <sheet name="Japan" sheetId="3" r:id="rId3"/>
    <sheet name="Macau" sheetId="4" r:id="rId4"/>
    <sheet name="Sheet1" sheetId="9" r:id="rId5"/>
    <sheet name="Philippines" sheetId="5" r:id="rId6"/>
    <sheet name="Singapore" sheetId="6" r:id="rId7"/>
    <sheet name="Taiwan" sheetId="7" r:id="rId8"/>
    <sheet name="Thailand" sheetId="8" r:id="rId9"/>
  </sheets>
  <calcPr calcId="191029"/>
</workbook>
</file>

<file path=xl/calcChain.xml><?xml version="1.0" encoding="utf-8"?>
<calcChain xmlns="http://schemas.openxmlformats.org/spreadsheetml/2006/main">
  <c r="F1" i="9" l="1"/>
</calcChain>
</file>

<file path=xl/sharedStrings.xml><?xml version="1.0" encoding="utf-8"?>
<sst xmlns="http://schemas.openxmlformats.org/spreadsheetml/2006/main" count="581" uniqueCount="203">
  <si>
    <t>China</t>
  </si>
  <si>
    <t>2026-09</t>
  </si>
  <si>
    <t>2026-08</t>
  </si>
  <si>
    <t>2026-07</t>
  </si>
  <si>
    <t>2026-06</t>
  </si>
  <si>
    <t>2026-05</t>
  </si>
  <si>
    <t>2026-04</t>
  </si>
  <si>
    <t>2026-03</t>
  </si>
  <si>
    <t>2026-02</t>
  </si>
  <si>
    <t>2026-01</t>
  </si>
  <si>
    <t>Male: 31%
Female: 69%</t>
  </si>
  <si>
    <t>Male: 32%
Female: 68%</t>
  </si>
  <si>
    <t>Male: 34%
Female: 66%</t>
  </si>
  <si>
    <t>Male: 33%
Female: 67%</t>
  </si>
  <si>
    <t>&lt;18: 2%
18-24: 7%
25-29: 12%
30-34: 16%
35-39: 16%
40-44: 13%
45-49: 10%
50-59: 15%
60+: 9%</t>
  </si>
  <si>
    <t>&lt;18: 3%
18-24: 7%
25-29: 12%
30-34: 17%
35-39: 15%
40-44: 14%
45-49: 10%
50-59: 14%
60+: 8%</t>
  </si>
  <si>
    <t>&lt;18: 4%
18-24: 6%
25-29: 12%
30-34: 16%
35-39: 14%
40-44: 14%
45-49: 10%
50-59: 15%
60+: 9%</t>
  </si>
  <si>
    <t>&lt;18: 3%
18-24: 7%
25-29: 13%
30-34: 16%
35-39: 15%
40-44: 13%
45-49: 10%
50-59: 15%
60+: 10%</t>
  </si>
  <si>
    <t>&lt;18: 3%
18-24: 6%
25-29: 13%
30-34: 17%
35-39: 15%
40-44: 13%
45-49: 10%
50-59: 14%
60+: 8%</t>
  </si>
  <si>
    <t>&lt;18: 2%
18-24: 5%
25-29: 13%
30-34: 8%
35-39: 18%
40-44: 18%
45-49: 14%
50-59: 17%
60+: 5%</t>
  </si>
  <si>
    <t>&lt;18: 2%
18-24: 5%
25-29: 15%
30-34: 8%
35-39: 17%
40-44: 17%
45-49: 13%
50-59: 17%
60+: 5%</t>
  </si>
  <si>
    <t>&lt;18: 3%
18-24: 6%
25-29: 15%
30-34: 8%
35-39: 18%
40-44: 17%
45-49: 12%
50-59: 16%
60+: 5%</t>
  </si>
  <si>
    <t>&lt;18: 3%
18-24: 6%
25-29: 13%
30-34: 8%
35-39: 16%
40-44: 18%
45-49: 13%
50-59: 18%
60+: 5%</t>
  </si>
  <si>
    <t>0-40: 17.0%
40-80: 15.1%
80-100: 16.1%
100-130: 19.6%
130-210: 15.6%
210+: 16.6%</t>
  </si>
  <si>
    <t>0-40: 17.2%
40-80: 16.1%
80-100: 16.0%
100-120: 14.5%
120-200: 19.0%
200+: 17.1%</t>
  </si>
  <si>
    <t>0-40: 14.8%
40-80: 15.7%
80-100: 16.1%
100-130: 19.7%
130-210: 16.9%
210+: 16.8%</t>
  </si>
  <si>
    <t>0-40: 16.0%
40-80: 15.1%
80-100: 16.4%
100-130: 20.1%
130-210: 16.1%
210+: 16.3%</t>
  </si>
  <si>
    <t>0-40: 16.2%
40-80: 15.0%
80-100: 16.1%
100-120: 15.3%
120-200: 20.0%
200+: 17.4%</t>
  </si>
  <si>
    <t>0-40: 16.8%
40-80: 15.7%
80-100: 15.9%
100-120: 15.8%
120-200: 19.3%
200+: 16.5%</t>
  </si>
  <si>
    <t>0-40: 17.0%
40-80: 15.3%
80-100: 15.1%
100-130: 20.0%
130-200: 15.1%
200+: 17.5%</t>
  </si>
  <si>
    <t>0-40: 17.0%
40-80: 15.7%
80-100: 16.1%
100-120: 15.5%
120-200: 18.8%
200+: 16.9%</t>
  </si>
  <si>
    <t>0-40: 16.9%
40-80: 14.0%
80-100: 15.4%
100-130: 21.0%
130-210: 15.9%
210+: 16.8%</t>
  </si>
  <si>
    <t>✅(Only included HK and local results)</t>
  </si>
  <si>
    <t>⚠️ Excludes SG IP crawlers; may contain China-based crawlers</t>
  </si>
  <si>
    <t>Country</t>
  </si>
  <si>
    <t>Month</t>
  </si>
  <si>
    <t>Total Registered Members</t>
  </si>
  <si>
    <t>New Registered Members</t>
  </si>
  <si>
    <t>Active Guest + Member (Mobile Web)</t>
  </si>
  <si>
    <t>Active Guest + Member (Desktop)</t>
  </si>
  <si>
    <t>Active Guest + Member (iOS)</t>
  </si>
  <si>
    <t>Active Guest + Member (Android)</t>
  </si>
  <si>
    <t>Page Views (Mobile Web)</t>
  </si>
  <si>
    <t>Page Views (Desktop)</t>
  </si>
  <si>
    <t>Page Views (iOS)</t>
  </si>
  <si>
    <t>Page Views (Android)</t>
  </si>
  <si>
    <t>Gender Distribution</t>
  </si>
  <si>
    <t>Age Distribution</t>
  </si>
  <si>
    <t>Spend Distribution(By Poi price)</t>
  </si>
  <si>
    <t>Data Quality</t>
  </si>
  <si>
    <t>Hong Kong</t>
  </si>
  <si>
    <t>Male: 26%
Female: 74%</t>
  </si>
  <si>
    <t>Male: 36%
Female: 64%</t>
  </si>
  <si>
    <t>&lt;18: 2%
18-24: 7%
25-29: 14%
30-34: 20%
35-39: 17%
40-44: 14%
45-49: 9%
50-59: 11%
60+: 5%</t>
  </si>
  <si>
    <t>&lt;18: 2%
18-24: 7%
25-29: 14%
30-34: 20%
35-39: 18%
40-44: 14%
45-49: 9%
50-59: 11%
60+: 5%</t>
  </si>
  <si>
    <t>&lt;18: 2%
18-24: 7%
25-29: 15%
30-34: 20%
35-39: 18%
40-44: 14%
45-49: 9%
50-59: 11%
60+: 5%</t>
  </si>
  <si>
    <t>&lt;18: 2%
18-24: 5%
25-29: 34%
30-34: 8%
35-39: 16%
40-44: 14%
45-49: 9%
50-59: 10%
60+: 2%</t>
  </si>
  <si>
    <t>&lt;18: 2%
18-24: 6%
25-29: 17%
30-34: 10%
35-39: 20%
40-44: 18%
45-49: 12%
50-59: 13%
60+: 3%</t>
  </si>
  <si>
    <t>0-50: 8.8%
50-80: 24.3%
80-100: 4.2%
100-170: 29.3%
170-250: 15.8%
250+: 17.6%</t>
  </si>
  <si>
    <t>0-50: 8.6%
50-80: 24.5%
80-100: 4.2%
100-150: 20.2%
150-250: 25.0%
250+: 17.4%</t>
  </si>
  <si>
    <t>0-50: 8.5%
50-80: 24.5%
80-100: 4.4%
100-150: 20.2%
150-250: 24.8%
250+: 17.6%</t>
  </si>
  <si>
    <t>0-50: 8.5%
50-80: 24.1%
80-100: 4.5%
100-150: 20.1%
150-250: 24.9%
250+: 17.9%</t>
  </si>
  <si>
    <t>0-50: 8.8%
50-80: 24.3%
80-100: 4.4%
100-150: 19.9%
150-250: 24.8%
250+: 17.8%</t>
  </si>
  <si>
    <t>0-50: 9.3%
50-70: 22.1%
70-100: 7.1%
100-150: 20.1%
150-250: 24.2%
250+: 17.1%</t>
  </si>
  <si>
    <t>0-50: 9.7%
50-70: 22.2%
70-100: 7.1%
100-150: 19.8%
150-250: 23.8%
250+: 17.3%</t>
  </si>
  <si>
    <t>0-50: 9.1%
50-80: 22.9%
80-100: 4.4%
100-170: 30.2%
170-250: 15.0%
250+: 18.4%</t>
  </si>
  <si>
    <t>0-50: 9.4%
50-80: 23.7%
80-100: 4.5%
100-160: 28.9%
160-250: 15.1%
250+: 18.3%</t>
  </si>
  <si>
    <t>✅ Bot-filtered (excludes China &amp; Singapore IP)</t>
  </si>
  <si>
    <t>Japan</t>
  </si>
  <si>
    <t>Male: 30%
Female: 70%</t>
  </si>
  <si>
    <t>&lt;18: 3%
18-24: 6%
25-29: 10%
30-34: 16%
35-39: 14%
40-44: 14%
45-49: 12%
50-59: 17%
60+: 8%</t>
  </si>
  <si>
    <t>&lt;18: 3%
18-24: 4%
25-29: 9%
30-34: 13%
35-39: 14%
40-44: 19%
45-49: 15%
50-59: 16%
60+: 6%</t>
  </si>
  <si>
    <t>&lt;18: 3%
18-24: 6%
25-29: 9%
30-34: 14%
35-39: 16%
40-44: 16%
45-49: 14%
50-59: 16%
60+: 6%</t>
  </si>
  <si>
    <t>&lt;18: 3%
18-24: 6%
25-29: 11%
30-34: 16%
35-39: 16%
40-44: 14%
45-49: 12%
50-59: 16%
60+: 6%</t>
  </si>
  <si>
    <t>&lt;18: 3%
18-24: 6%
25-29: 12%
30-34: 15%
35-39: 15%
40-44: 15%
45-49: 12%
50-59: 16%
60+: 6%</t>
  </si>
  <si>
    <t>&lt;18: 2%
18-24: 5%
25-29: 15%
30-34: 8%
35-39: 17%
40-44: 18%
45-49: 13%
50-59: 17%
60+: 3%</t>
  </si>
  <si>
    <t>&lt;18: 2%
18-24: 6%
25-29: 15%
30-34: 8%
35-39: 18%
40-44: 18%
45-49: 14%
50-59: 17%
60+: 3%</t>
  </si>
  <si>
    <t>&lt;18: 2%
18-24: 6%
25-29: 16%
30-34: 8%
35-39: 18%
40-44: 19%
45-49: 13%
50-59: 16%
60+: 3%</t>
  </si>
  <si>
    <t>&lt;18: 2%
18-24: 7%
25-29: 17%
30-34: 8%
35-39: 17%
40-44: 18%
45-49: 13%
50-59: 15%
60+: 3%</t>
  </si>
  <si>
    <t>0-2500: 12.2%
2500-3500: 9.9%
3500-4500: 16.1%
4500-6000: 27.7%
6000-9000: 12.9%
9000+: 21.1%</t>
  </si>
  <si>
    <t>0-2500: 12.3%
2500-3500: 10.6%
3500-4500: 16.8%
4500-5500: 15.7%
5500-9000: 24.8%
9000+: 19.8%</t>
  </si>
  <si>
    <t>0-2500: 13.3%
2500-3500: 10.5%
3500-4500: 15.5%
4500-6000: 26.8%
6000-9000: 12.6%
9000+: 21.4%</t>
  </si>
  <si>
    <t>0-2500: 13.1%
2500-3500: 10.1%
3500-4500: 14.8%
4500-7000: 26.8%
7000-9000: 11.6%
9000+: 23.6%</t>
  </si>
  <si>
    <t>0-2500: 13.3%
2500-3500: 10.2%
3500-4500: 15.0%
4500-7000: 27.4%
7000-9000: 10.9%
9000+: 23.2%</t>
  </si>
  <si>
    <t>0-2500: 12.9%
2500-3500: 9.9%
3500-4500: 15.7%
4500-7000: 27.4%
7000-9000: 10.7%
9000+: 23.4%</t>
  </si>
  <si>
    <t>0-2500: 12.5%
2500-3500: 9.4%
3500-4500: 15.1%
4500-7000: 27.8%
7000-9000: 10.8%
9000+: 24.5%</t>
  </si>
  <si>
    <t>0-2500: 12.7%
2500-3500: 9.6%
3500-4500: 15.1%
4500-7000: 27.1%
7000-12500: 18.3%
12500+: 17.3%</t>
  </si>
  <si>
    <t>0-2500: 11.8%
2500-3500: 9.6%
3500-4500: 15.3%
4500-7000: 28.4%
7000-12500: 17.5%
12500+: 17.4%</t>
  </si>
  <si>
    <t>Macau</t>
  </si>
  <si>
    <t>N/A</t>
  </si>
  <si>
    <t>&lt;18: 2%
18-24: 6%
25-29: 12%
30-34: 17%
35-39: 17%
40-44: 15%
45-49: 10%
50-59: 14%
60+: 6%</t>
  </si>
  <si>
    <t>&lt;18: 2%
18-24: 5%
25-29: 11%
30-34: 17%
35-39: 18%
40-44: 15%
45-49: 11%
50-59: 14%
60+: 6%</t>
  </si>
  <si>
    <t>&lt;18: 2%
18-24: 6%
25-29: 12%
30-34: 17%
35-39: 18%
40-44: 15%
45-49: 10%
50-59: 14%
60+: 6%</t>
  </si>
  <si>
    <t>&lt;18: 2%
18-24: 6%
25-29: 11%
30-34: 17%
35-39: 18%
40-44: 16%
45-49: 10%
50-59: 13%
60+: 7%</t>
  </si>
  <si>
    <t>&lt;18: 2%
18-24: 6%
25-29: 12%
30-34: 18%
35-39: 18%
40-44: 15%
45-49: 11%
50-59: 13%
60+: 6%</t>
  </si>
  <si>
    <t>&lt;18: 2%
18-24: 5%
25-29: 13%
30-34: 8%
35-39: 20%
40-44: 21%
45-49: 14%
50-59: 15%
60+: 3%</t>
  </si>
  <si>
    <t>&lt;18: 2%
18-24: 6%
25-29: 15%
30-34: 8%
35-39: 19%
40-44: 19%
45-49: 13%
50-59: 15%
60+: 4%</t>
  </si>
  <si>
    <t>&lt;18: 2%
18-24: 6%
25-29: 18%
30-34: 9%
35-39: 19%
40-44: 18%
45-49: 11%
50-59: 13%
60+: 3%</t>
  </si>
  <si>
    <t>&lt;18: 2%
18-24: 7%
25-29: 17%
30-34: 9%
35-39: 19%
40-44: 18%
45-49: 11%
50-59: 13%
60+: 3%</t>
  </si>
  <si>
    <t>0-40: 12.2%
40-50: 8.1%
50-100: 23.3%
100-160: 21.3%
160-300: 17.7%
300+: 17.3%</t>
  </si>
  <si>
    <t>0-40: 12.0%
40-50: 8.3%
50-100: 23.7%
100-160: 21.1%
160-300: 18.0%
300+: 17.0%</t>
  </si>
  <si>
    <t>0-40: 11.8%
40-50: 7.6%
50-100: 23.4%
100-190: 23.1%
190-300: 16.1%
300+: 18.1%</t>
  </si>
  <si>
    <t>0-40: 11.6%
40-50: 7.4%
50-100: 23.2%
100-190: 23.6%
190-300: 16.4%
300+: 17.8%</t>
  </si>
  <si>
    <t>0-40: 12.2%
40-50: 8.0%
50-100: 24.2%
100-160: 21.4%
160-300: 17.3%
300+: 17.0%</t>
  </si>
  <si>
    <t>0-40: 13.3%
40-50: 8.7%
50-100: 25.2%
100-150: 15.7%
150-250: 18.4%
250+: 18.6%</t>
  </si>
  <si>
    <t>0-40: 13.2%
40-50: 8.7%
50-100: 24.3%
100-150: 15.4%
150-250: 19.0%
250+: 19.4%</t>
  </si>
  <si>
    <t>0-40: 12.1%
40-50: 7.9%
50-100: 23.1%
100-190: 23.4%
190-300: 16.6%
300+: 16.9%</t>
  </si>
  <si>
    <t>0-40: 12.4%
40-50: 8.4%
50-100: 24.1%
100-160: 21.3%
160-260: 17.1%
260+: 16.7%</t>
  </si>
  <si>
    <t>Note: Total Registered Members and New Registered Members are N/A for Macau because user registration data cannot be distinguished between Hong Kong and Macau; we can only identify users by country.</t>
  </si>
  <si>
    <t>Philippines</t>
  </si>
  <si>
    <t>Male: 14%
Female: 86%</t>
  </si>
  <si>
    <t>Male: 20%
Female: 80%</t>
  </si>
  <si>
    <t>Male: 44%
Female: 56%</t>
  </si>
  <si>
    <t>Male: 46%
Female: 54%</t>
  </si>
  <si>
    <t>Male: 38%
Female: 62%</t>
  </si>
  <si>
    <t>Male: 42%
Female: 58%</t>
  </si>
  <si>
    <t>Male: 47%
Female: 53%</t>
  </si>
  <si>
    <t>Male: 48%
Female: 52%</t>
  </si>
  <si>
    <t>&lt;18: 3%
18-24: 8%
25-29: 11%
30-34: 16%
35-39: 18%
40-44: 16%
45-49: 13%
50-59: 11%
60+: 3%</t>
  </si>
  <si>
    <t>&lt;18: 2%
18-24: 6%
25-29: 11%
30-34: 17%
35-39: 18%
40-44: 18%
45-49: 13%
50-59: 11%
60+: 3%</t>
  </si>
  <si>
    <t>&lt;18: 2%
18-24: 7%
25-29: 11%
30-34: 16%
35-39: 18%
40-44: 17%
45-49: 14%
50-59: 12%
60+: 3%</t>
  </si>
  <si>
    <t>&lt;18: 2%
18-24: 6%
25-29: 10%
30-34: 15%
35-39: 17%
40-44: 18%
45-49: 15%
50-59: 14%
60+: 4%</t>
  </si>
  <si>
    <t>&lt;18: 1%
18-24: 4%
25-29: 8%
30-34: 14%
35-39: 18%
40-44: 19%
45-49: 17%
50-59: 16%
60+: 3%</t>
  </si>
  <si>
    <t>&lt;18: 1%
18-24: 3%
25-29: 8%
30-34: 7%
35-39: 19%
40-44: 23%
45-49: 18%
50-59: 18%
60+: 3%</t>
  </si>
  <si>
    <t>&lt;18: 2%
18-24: 4%
25-29: 8%
30-34: 7%
35-39: 16%
40-44: 20%
45-49: 19%
50-59: 21%
60+: 4%</t>
  </si>
  <si>
    <t>&lt;18: 2%
18-24: 6%
25-29: 13%
30-34: 8%
35-39: 20%
40-44: 19%
45-49: 12%
50-59: 14%
60+: 7%</t>
  </si>
  <si>
    <t>&lt;18: 4%
18-24: 10%
25-29: 14%
30-34: 15%
35-39: 14%
40-44: 19%
45-49: 12%
50-59: 10%
60+: 2%</t>
  </si>
  <si>
    <t>0-1000: 8.6%
1000-2000: 70.9%
2000+: 20.5%</t>
  </si>
  <si>
    <t>0-1000: 9.5%
1000-2000: 70.2%
2000+: 20.3%</t>
  </si>
  <si>
    <t>0-1000: 10.5%
1000-2000: 69.7%
2000+: 19.8%</t>
  </si>
  <si>
    <t>0-1000: 11.0%
1000-2000: 67.7%
2000+: 21.3%</t>
  </si>
  <si>
    <t>0-1000: 10.6%
1000-2000: 70.1%
2000+: 19.3%</t>
  </si>
  <si>
    <t>0-1000: 10.9%
1000-2000: 70.1%
2000+: 19.0%</t>
  </si>
  <si>
    <t>0-1000: 12.9%
1000-1600: 67.4%
1600+: 19.7%</t>
  </si>
  <si>
    <t>0-500: 5.0%
500-1000: 14.3%
1000-2000: 62.0%
2000+: 18.7%</t>
  </si>
  <si>
    <t>0-500: 7.0%
500-1000: 16.7%
1000-1500: 57.8%
1500+: 18.5%</t>
  </si>
  <si>
    <t>Singapore</t>
  </si>
  <si>
    <t>Male: 37%
Female: 63%</t>
  </si>
  <si>
    <t>Male: 40%
Female: 60%</t>
  </si>
  <si>
    <t>Male: 39%
Female: 61%</t>
  </si>
  <si>
    <t>Male: 35%
Female: 65%</t>
  </si>
  <si>
    <t>&lt;18: 0%
18-24: 4%
25-29: 10%
30-34: 16%
35-39: 19%
40-44: 12%
45-49: 8%
50-59: 20%
60+: 11%</t>
  </si>
  <si>
    <t>&lt;18: 5%
18-24: 4%
25-29: 8%
30-34: 11%
35-39: 15%
40-44: 15%
45-49: 16%
50-59: 21%
60+: 6%</t>
  </si>
  <si>
    <t>&lt;18: 2%
18-24: 7%
25-29: 7%
30-34: 12%
35-39: 15%
40-44: 17%
45-49: 15%
50-59: 17%
60+: 8%</t>
  </si>
  <si>
    <t>&lt;18: 3%
18-24: 6%
25-29: 8%
30-34: 16%
35-39: 12%
40-44: 17%
45-49: 12%
50-59: 17%
60+: 10%</t>
  </si>
  <si>
    <t>&lt;18: 3%
18-24: 6%
25-29: 9%
30-34: 15%
35-39: 14%
40-44: 17%
45-49: 11%
50-59: 18%
60+: 8%</t>
  </si>
  <si>
    <t>&lt;18: 6%
18-24: 8%
25-29: 13%
30-34: 10%
35-39: 17%
40-44: 19%
45-49: 11%
50-59: 13%
60+: 2%</t>
  </si>
  <si>
    <t>&lt;18: 4%
18-24: 6%
25-29: 11%
30-34: 8%
35-39: 20%
40-44: 18%
45-49: 12%
50-59: 17%
60+: 4%</t>
  </si>
  <si>
    <t>&lt;18: 5%
18-24: 5%
25-29: 9%
30-34: 7%
35-39: 17%
40-44: 19%
45-49: 13%
50-59: 18%
60+: 6%</t>
  </si>
  <si>
    <t>&lt;18: 5%
18-24: 6%
25-29: 10%
30-34: 7%
35-39: 12%
40-44: 22%
45-49: 14%
50-59: 21%
60+: 4%</t>
  </si>
  <si>
    <t>0-10: 14.9%
10-20: 23.6%
20-40: 31.8%
40-50: 7.3%
50+: 22.4%</t>
  </si>
  <si>
    <t>0-10: 11.4%
10-20: 23.3%
20-30: 21.4%
30-50: 23.6%
50+: 20.3%</t>
  </si>
  <si>
    <t>0-10: 12.7%
10-20: 24.7%
20-40: 34.2%
40-50: 6.3%
50+: 22.2%</t>
  </si>
  <si>
    <t>0-10: 10.6%
10-20: 24.5%
20-40: 33.4%
40-50: 8.2%
50+: 23.2%</t>
  </si>
  <si>
    <t>0-10: 11.4%
10-20: 22.7%
20-40: 33.8%
40-60: 13.6%
60+: 18.4%</t>
  </si>
  <si>
    <t>0-10: 11.6%
10-20: 25.0%
20-40: 33.2%
40-50: 7.7%
50+: 22.4%</t>
  </si>
  <si>
    <t>0-10: 10.4%
10-20: 24.0%
20-40: 36.7%
40-50: 8.0%
50+: 20.9%</t>
  </si>
  <si>
    <t>0-10: 10.4%
10-20: 21.4%
20-40: 34.6%
40-60: 13.7%
60+: 20.0%</t>
  </si>
  <si>
    <t>0-10: 12.7%
10-20: 22.5%
20-40: 32.7%
40-60: 13.3%
60+: 18.9%</t>
  </si>
  <si>
    <t>⚠️ Excludes CN IP crawlers; may contain SG-based crawlers</t>
  </si>
  <si>
    <t>Taiwan</t>
  </si>
  <si>
    <t>Male: 29%
Female: 71%</t>
  </si>
  <si>
    <t>Male: 27%
Female: 73%</t>
  </si>
  <si>
    <t>Male: 28%
Female: 72%</t>
  </si>
  <si>
    <t>&lt;18: 3%
18-24: 9%
25-29: 17%
30-34: 20%
35-39: 15%
40-44: 12%
45-49: 8%
50-59: 11%
60+: 5%</t>
  </si>
  <si>
    <t>&lt;18: 3%
18-24: 7%
25-29: 15%
30-34: 19%
35-39: 18%
40-44: 13%
45-49: 9%
50-59: 11%
60+: 5%</t>
  </si>
  <si>
    <t>&lt;18: 3%
18-24: 8%
25-29: 16%
30-34: 21%
35-39: 16%
40-44: 13%
45-49: 8%
50-59: 9%
60+: 4%</t>
  </si>
  <si>
    <t>&lt;18: 3%
18-24: 10%
25-29: 18%
30-34: 22%
35-39: 15%
40-44: 12%
45-49: 7%
50-59: 9%
60+: 4%</t>
  </si>
  <si>
    <t>&lt;18: 3%
18-24: 9%
25-29: 18%
30-34: 22%
35-39: 15%
40-44: 12%
45-49: 8%
50-59: 9%
60+: 4%</t>
  </si>
  <si>
    <t>&lt;18: 3%
18-24: 8%
25-29: 21%
30-34: 10%
35-39: 18%
40-44: 16%
45-49: 10%
50-59: 11%
60+: 2%</t>
  </si>
  <si>
    <t>&lt;18: 2%
18-24: 7%
25-29: 21%
30-34: 10%
35-39: 18%
40-44: 16%
45-49: 11%
50-59: 12%
60+: 2%</t>
  </si>
  <si>
    <t>&lt;18: 2%
18-24: 5%
25-29: 12%
30-34: 6%
35-39: 18%
40-44: 18%
45-49: 16%
50-59: 20%
60+: 4%</t>
  </si>
  <si>
    <t>&lt;18: 2%
18-24: 5%
25-29: 12%
30-34: 6%
35-39: 18%
40-44: 18%
45-49: 15%
50-59: 18%
60+: 4%</t>
  </si>
  <si>
    <t>0-100: 3.4%
100-300: 21.7%
300-500: 17.6%
500-800: 21.7%
800-1300: 17.9%
1300+: 17.6%</t>
  </si>
  <si>
    <t>0-100: 2.6%
100-300: 22.8%
300-500: 19.4%
500-700: 19.3%
700-1100: 18.8%
1100+: 17.1%</t>
  </si>
  <si>
    <t>0-100: 3.1%
100-300: 26.9%
300-500: 24.1%
500-900: 27.3%
900+: 18.6%</t>
  </si>
  <si>
    <t>0-100: 3.1%
100-300: 27.8%
300-350: 18.1%
350-500: 3.1%
500-1000: 29.0%
1000+: 18.9%</t>
  </si>
  <si>
    <t>0-100: 3.8%
100-300: 25.0%
300-350: 18.0%
350-500: 9.0%
500-900: 26.7%
900+: 17.4%</t>
  </si>
  <si>
    <t>0-100: 3.6%
100-300: 25.5%
300-350: 16.7%
350-500: 9.1%
500-900: 26.9%
900+: 18.1%</t>
  </si>
  <si>
    <t>0-100: 3.8%
100-300: 25.2%
300-350: 16.7%
350-550: 20.6%
550-1000: 16.4%
1000+: 17.2%</t>
  </si>
  <si>
    <t>0-100: 3.3%
100-300: 22.8%
300-350: 17.0%
350-500: 9.2%
500-900: 29.2%
900+: 18.4%</t>
  </si>
  <si>
    <t>0-100: 3.5%
100-300: 24.2%
300-350: 15.4%
350-600: 22.7%
600-900: 14.8%
900+: 19.3%</t>
  </si>
  <si>
    <t>Thailand</t>
  </si>
  <si>
    <t>&lt;18: 1%
18-24: 5%
25-29: 10%
30-34: 12%
35-39: 16%
40-44: 16%
45-49: 11%
50-59: 21%
60+: 7%</t>
  </si>
  <si>
    <t>&lt;18: 1%
18-24: 3%
25-29: 8%
30-34: 13%
35-39: 17%
40-44: 16%
45-49: 15%
50-59: 19%
60+: 8%</t>
  </si>
  <si>
    <t>&lt;18: 2%
18-24: 5%
25-29: 12%
30-34: 15%
35-39: 16%
40-44: 16%
45-49: 13%
50-59: 14%
60+: 7%</t>
  </si>
  <si>
    <t>&lt;18: 2%
18-24: 5%
25-29: 12%
30-34: 18%
35-39: 16%
40-44: 15%
45-49: 11%
50-59: 15%
60+: 7%</t>
  </si>
  <si>
    <t>&lt;18: 2%
18-24: 4%
25-29: 10%
30-34: 18%
35-39: 16%
40-44: 16%
45-49: 12%
50-59: 17%
60+: 6%</t>
  </si>
  <si>
    <t>&lt;18: 2%
18-24: 4%
25-29: 12%
30-34: 7%
35-39: 18%
40-44: 21%
45-49: 15%
50-59: 18%
60+: 3%</t>
  </si>
  <si>
    <t>&lt;18: 2%
18-24: 4%
25-29: 12%
30-34: 7%
35-39: 19%
40-44: 20%
45-49: 14%
50-59: 18%
60+: 4%</t>
  </si>
  <si>
    <t>&lt;18: 2%
18-24: 5%
25-29: 12%
30-34: 7%
35-39: 17%
40-44: 21%
45-49: 14%
50-59: 19%
60+: 4%</t>
  </si>
  <si>
    <t>&lt;18: 1%
18-24: 5%
25-29: 13%
30-34: 8%
35-39: 18%
40-44: 18%
45-49: 14%
50-59: 19%
60+: 4%</t>
  </si>
  <si>
    <t>0-150: 16.4%
150-300: 13.3%
300-400: 14.2%
400-700: 22.5%
700-1200: 15.3%
1200+: 18.3%</t>
  </si>
  <si>
    <t>0-150: 15.1%
150-300: 14.7%
300-400: 16.7%
400-500: 7.8%
500-1000: 23.0%
1000+: 22.7%</t>
  </si>
  <si>
    <t>0-150: 14.4%
150-300: 14.6%
300-400: 16.0%
400-600: 20.6%
600-1000: 11.0%
1000+: 23.6%</t>
  </si>
  <si>
    <t>0-200: 15.7%
200-300: 8.3%
300-500: 22.1%
500-800: 20.0%
800-1500: 17.2%
1500+: 16.7%</t>
  </si>
  <si>
    <t>0-150: 14.5%
150-300: 14.1%
300-500: 20.3%
500-700: 15.3%
700-1200: 17.3%
1200+: 18.5%</t>
  </si>
  <si>
    <t>0-150: 13.3%
150-300: 14.1%
300-500: 21.8%
500-700: 16.4%
700-1200: 17.2%
1200+: 17.2%</t>
  </si>
  <si>
    <t>0-150: 14.8%
150-300: 13.8%
300-500: 20.6%
500-700: 15.4%
700-1200: 17.8%
1200+: 17.6%</t>
  </si>
  <si>
    <t>0-150: 13.2%
150-300: 14.4%
300-500: 22.4%
500-700: 16.1%
700-1050: 17.3%
1050+: 16.7%</t>
  </si>
  <si>
    <t>0-150: 12.7%
150-300: 12.7%
300-500: 19.1%
500-800: 17.2%
800-1300: 21.5%
1300+: 16.8%</t>
  </si>
  <si>
    <t>MAU</t>
  </si>
  <si>
    <t>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</si>
</sst>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3" fontId="2" fillId="5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customWidth="1"/>
    <col min="2" max="2" width="10.7109375" customWidth="1"/>
    <col min="3" max="3" width="16.7109375" customWidth="1"/>
    <col min="4" max="4" width="15.7109375" customWidth="1"/>
    <col min="5" max="6" width="20.7109375" customWidth="1"/>
    <col min="7" max="8" width="18.7109375" customWidth="1"/>
    <col min="9" max="9" width="20.7109375" customWidth="1"/>
    <col min="10" max="10" width="18.7109375" customWidth="1"/>
    <col min="11" max="11" width="16.7109375" customWidth="1"/>
    <col min="12" max="14" width="18.7109375" customWidth="1"/>
    <col min="15" max="15" width="20.7109375" customWidth="1"/>
    <col min="16" max="16" width="60.7109375" customWidth="1"/>
  </cols>
  <sheetData>
    <row r="1" spans="1:16" ht="30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135" customHeight="1" x14ac:dyDescent="0.25">
      <c r="A2" s="2" t="s">
        <v>0</v>
      </c>
      <c r="B2" s="3" t="s">
        <v>1</v>
      </c>
      <c r="C2" s="4">
        <v>269940</v>
      </c>
      <c r="D2" s="4">
        <v>1648</v>
      </c>
      <c r="E2" s="4">
        <v>172227</v>
      </c>
      <c r="F2" s="4">
        <v>599874</v>
      </c>
      <c r="G2" s="4">
        <v>36854</v>
      </c>
      <c r="H2" s="4">
        <v>19141</v>
      </c>
      <c r="I2" s="4">
        <v>697330</v>
      </c>
      <c r="J2" s="4">
        <v>764621</v>
      </c>
      <c r="K2" s="4">
        <v>579763</v>
      </c>
      <c r="L2" s="4">
        <v>204874</v>
      </c>
      <c r="M2" s="5" t="s">
        <v>10</v>
      </c>
      <c r="N2" s="5" t="s">
        <v>14</v>
      </c>
      <c r="O2" s="5" t="s">
        <v>23</v>
      </c>
      <c r="P2" s="2" t="s">
        <v>32</v>
      </c>
    </row>
    <row r="3" spans="1:16" ht="135" customHeight="1" x14ac:dyDescent="0.25">
      <c r="A3" s="6" t="s">
        <v>0</v>
      </c>
      <c r="B3" s="7" t="s">
        <v>2</v>
      </c>
      <c r="C3" s="8">
        <v>268194</v>
      </c>
      <c r="D3" s="8">
        <v>2237</v>
      </c>
      <c r="E3" s="8">
        <v>166524</v>
      </c>
      <c r="F3" s="8">
        <v>1338679</v>
      </c>
      <c r="G3" s="8">
        <v>42963</v>
      </c>
      <c r="H3" s="8">
        <v>21513</v>
      </c>
      <c r="I3" s="8">
        <v>657150</v>
      </c>
      <c r="J3" s="8">
        <v>1486371</v>
      </c>
      <c r="K3" s="8">
        <v>716468</v>
      </c>
      <c r="L3" s="8">
        <v>233101</v>
      </c>
      <c r="M3" s="9" t="s">
        <v>10</v>
      </c>
      <c r="N3" s="9" t="s">
        <v>15</v>
      </c>
      <c r="O3" s="9" t="s">
        <v>24</v>
      </c>
      <c r="P3" s="6" t="s">
        <v>32</v>
      </c>
    </row>
    <row r="4" spans="1:16" ht="135" customHeight="1" x14ac:dyDescent="0.25">
      <c r="A4" s="2" t="s">
        <v>0</v>
      </c>
      <c r="B4" s="3" t="s">
        <v>3</v>
      </c>
      <c r="C4" s="4">
        <v>265861</v>
      </c>
      <c r="D4" s="4">
        <v>1943</v>
      </c>
      <c r="E4" s="4">
        <v>155076</v>
      </c>
      <c r="F4" s="4">
        <v>2697088</v>
      </c>
      <c r="G4" s="4">
        <v>34839</v>
      </c>
      <c r="H4" s="4">
        <v>19381</v>
      </c>
      <c r="I4" s="4">
        <v>547523</v>
      </c>
      <c r="J4" s="4">
        <v>2841911</v>
      </c>
      <c r="K4" s="4">
        <v>549690</v>
      </c>
      <c r="L4" s="4">
        <v>203938</v>
      </c>
      <c r="M4" s="5" t="s">
        <v>11</v>
      </c>
      <c r="N4" s="5" t="s">
        <v>16</v>
      </c>
      <c r="O4" s="5" t="s">
        <v>25</v>
      </c>
      <c r="P4" s="2" t="s">
        <v>32</v>
      </c>
    </row>
    <row r="5" spans="1:16" ht="135" customHeight="1" x14ac:dyDescent="0.25">
      <c r="A5" s="6" t="s">
        <v>0</v>
      </c>
      <c r="B5" s="7" t="s">
        <v>4</v>
      </c>
      <c r="C5" s="8">
        <v>263830</v>
      </c>
      <c r="D5" s="8">
        <v>1454</v>
      </c>
      <c r="E5" s="8">
        <v>153720</v>
      </c>
      <c r="F5" s="8">
        <v>1888450</v>
      </c>
      <c r="G5" s="8">
        <v>35265</v>
      </c>
      <c r="H5" s="8">
        <v>20265</v>
      </c>
      <c r="I5" s="8">
        <v>527805</v>
      </c>
      <c r="J5" s="8">
        <v>2218171</v>
      </c>
      <c r="K5" s="8">
        <v>550194</v>
      </c>
      <c r="L5" s="8">
        <v>216567</v>
      </c>
      <c r="M5" s="9" t="s">
        <v>11</v>
      </c>
      <c r="N5" s="9" t="s">
        <v>17</v>
      </c>
      <c r="O5" s="9" t="s">
        <v>26</v>
      </c>
      <c r="P5" s="6" t="s">
        <v>32</v>
      </c>
    </row>
    <row r="6" spans="1:16" ht="135" customHeight="1" x14ac:dyDescent="0.25">
      <c r="A6" s="2" t="s">
        <v>0</v>
      </c>
      <c r="B6" s="3" t="s">
        <v>5</v>
      </c>
      <c r="C6" s="4">
        <v>262321</v>
      </c>
      <c r="D6" s="4">
        <v>1611</v>
      </c>
      <c r="E6" s="4">
        <v>177760</v>
      </c>
      <c r="F6" s="4">
        <v>1464032</v>
      </c>
      <c r="G6" s="4">
        <v>40830</v>
      </c>
      <c r="H6" s="4">
        <v>22636</v>
      </c>
      <c r="I6" s="4">
        <v>635975</v>
      </c>
      <c r="J6" s="4">
        <v>1715107</v>
      </c>
      <c r="K6" s="4">
        <v>593091</v>
      </c>
      <c r="L6" s="4">
        <v>237299</v>
      </c>
      <c r="M6" s="5" t="s">
        <v>11</v>
      </c>
      <c r="N6" s="5" t="s">
        <v>18</v>
      </c>
      <c r="O6" s="5" t="s">
        <v>27</v>
      </c>
      <c r="P6" s="2" t="s">
        <v>32</v>
      </c>
    </row>
    <row r="7" spans="1:16" ht="135" customHeight="1" x14ac:dyDescent="0.25">
      <c r="A7" s="6" t="s">
        <v>0</v>
      </c>
      <c r="B7" s="7" t="s">
        <v>6</v>
      </c>
      <c r="C7" s="8">
        <v>260639</v>
      </c>
      <c r="D7" s="8">
        <v>1753</v>
      </c>
      <c r="E7" s="8">
        <v>249755</v>
      </c>
      <c r="F7" s="8">
        <v>1215141</v>
      </c>
      <c r="G7" s="8">
        <v>44713</v>
      </c>
      <c r="H7" s="8">
        <v>25974</v>
      </c>
      <c r="I7" s="8">
        <v>864382</v>
      </c>
      <c r="J7" s="8">
        <v>1399154</v>
      </c>
      <c r="K7" s="8">
        <v>747749</v>
      </c>
      <c r="L7" s="8">
        <v>284733</v>
      </c>
      <c r="M7" s="9" t="s">
        <v>12</v>
      </c>
      <c r="N7" s="9" t="s">
        <v>19</v>
      </c>
      <c r="O7" s="9" t="s">
        <v>28</v>
      </c>
      <c r="P7" s="6" t="s">
        <v>33</v>
      </c>
    </row>
    <row r="8" spans="1:16" ht="135" customHeight="1" x14ac:dyDescent="0.25">
      <c r="A8" s="2" t="s">
        <v>0</v>
      </c>
      <c r="B8" s="3" t="s">
        <v>7</v>
      </c>
      <c r="C8" s="4">
        <v>258833</v>
      </c>
      <c r="D8" s="4">
        <v>1718</v>
      </c>
      <c r="E8" s="4">
        <v>290061</v>
      </c>
      <c r="F8" s="4">
        <v>1081795</v>
      </c>
      <c r="G8" s="4">
        <v>38776</v>
      </c>
      <c r="H8" s="4">
        <v>20869</v>
      </c>
      <c r="I8" s="4">
        <v>937262</v>
      </c>
      <c r="J8" s="4">
        <v>1239949</v>
      </c>
      <c r="K8" s="4">
        <v>610557</v>
      </c>
      <c r="L8" s="4">
        <v>221832</v>
      </c>
      <c r="M8" s="5" t="s">
        <v>11</v>
      </c>
      <c r="N8" s="5" t="s">
        <v>20</v>
      </c>
      <c r="O8" s="5" t="s">
        <v>29</v>
      </c>
      <c r="P8" s="2" t="s">
        <v>33</v>
      </c>
    </row>
    <row r="9" spans="1:16" ht="135" customHeight="1" x14ac:dyDescent="0.25">
      <c r="A9" s="6" t="s">
        <v>0</v>
      </c>
      <c r="B9" s="7" t="s">
        <v>8</v>
      </c>
      <c r="C9" s="8">
        <v>257115</v>
      </c>
      <c r="D9" s="8">
        <v>1573</v>
      </c>
      <c r="E9" s="8">
        <v>250026</v>
      </c>
      <c r="F9" s="8">
        <v>1075424</v>
      </c>
      <c r="G9" s="8">
        <v>35574</v>
      </c>
      <c r="H9" s="8">
        <v>18042</v>
      </c>
      <c r="I9" s="8">
        <v>805946</v>
      </c>
      <c r="J9" s="8">
        <v>1193563</v>
      </c>
      <c r="K9" s="8">
        <v>519036</v>
      </c>
      <c r="L9" s="8">
        <v>199460</v>
      </c>
      <c r="M9" s="9" t="s">
        <v>13</v>
      </c>
      <c r="N9" s="9" t="s">
        <v>21</v>
      </c>
      <c r="O9" s="9" t="s">
        <v>30</v>
      </c>
      <c r="P9" s="6" t="s">
        <v>33</v>
      </c>
    </row>
    <row r="10" spans="1:16" ht="135" customHeight="1" x14ac:dyDescent="0.25">
      <c r="A10" s="2" t="s">
        <v>0</v>
      </c>
      <c r="B10" s="3" t="s">
        <v>9</v>
      </c>
      <c r="C10" s="4">
        <v>255526</v>
      </c>
      <c r="D10" s="4">
        <v>1573</v>
      </c>
      <c r="E10" s="4">
        <v>267596</v>
      </c>
      <c r="F10" s="4">
        <v>1544253</v>
      </c>
      <c r="G10" s="4">
        <v>35839</v>
      </c>
      <c r="H10" s="4">
        <v>19917</v>
      </c>
      <c r="I10" s="4">
        <v>907824</v>
      </c>
      <c r="J10" s="4">
        <v>1750677</v>
      </c>
      <c r="K10" s="4">
        <v>554774</v>
      </c>
      <c r="L10" s="4">
        <v>235606</v>
      </c>
      <c r="M10" s="5" t="s">
        <v>12</v>
      </c>
      <c r="N10" s="5" t="s">
        <v>22</v>
      </c>
      <c r="O10" s="5" t="s">
        <v>31</v>
      </c>
      <c r="P10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>
      <pane ySplit="1" topLeftCell="A2" activePane="bottomLeft" state="frozen"/>
      <selection pane="bottomLeft" activeCell="E2" sqref="E2:H2"/>
    </sheetView>
  </sheetViews>
  <sheetFormatPr defaultRowHeight="15" x14ac:dyDescent="0.25"/>
  <cols>
    <col min="1" max="1" width="14.7109375" customWidth="1"/>
    <col min="2" max="2" width="10.7109375" customWidth="1"/>
    <col min="3" max="3" width="16.7109375" customWidth="1"/>
    <col min="4" max="4" width="15.7109375" customWidth="1"/>
    <col min="5" max="6" width="20.7109375" customWidth="1"/>
    <col min="7" max="8" width="18.7109375" customWidth="1"/>
    <col min="9" max="9" width="20.7109375" customWidth="1"/>
    <col min="10" max="10" width="18.7109375" customWidth="1"/>
    <col min="11" max="11" width="16.7109375" customWidth="1"/>
    <col min="12" max="14" width="18.7109375" customWidth="1"/>
    <col min="15" max="15" width="20.7109375" customWidth="1"/>
    <col min="16" max="16" width="60.7109375" customWidth="1"/>
  </cols>
  <sheetData>
    <row r="1" spans="1:16" ht="30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135" customHeight="1" x14ac:dyDescent="0.25">
      <c r="A2" s="2" t="s">
        <v>50</v>
      </c>
      <c r="B2" s="13" t="s">
        <v>1</v>
      </c>
      <c r="C2" s="4">
        <v>7956721</v>
      </c>
      <c r="D2" s="4">
        <v>49831</v>
      </c>
      <c r="E2" s="11">
        <v>1700774</v>
      </c>
      <c r="F2" s="11">
        <v>750127</v>
      </c>
      <c r="G2" s="11">
        <v>1432346</v>
      </c>
      <c r="H2" s="11">
        <v>433112</v>
      </c>
      <c r="I2" s="4">
        <v>17734636</v>
      </c>
      <c r="J2" s="4">
        <v>10732772</v>
      </c>
      <c r="K2" s="4">
        <v>304757609</v>
      </c>
      <c r="L2" s="4">
        <v>62267905</v>
      </c>
      <c r="M2" s="5" t="s">
        <v>12</v>
      </c>
      <c r="N2" s="5" t="s">
        <v>53</v>
      </c>
      <c r="O2" s="5" t="s">
        <v>58</v>
      </c>
      <c r="P2" s="2" t="s">
        <v>32</v>
      </c>
    </row>
    <row r="3" spans="1:16" ht="135" customHeight="1" x14ac:dyDescent="0.25">
      <c r="A3" s="6" t="s">
        <v>50</v>
      </c>
      <c r="B3" s="7" t="s">
        <v>2</v>
      </c>
      <c r="C3" s="8">
        <v>7907109</v>
      </c>
      <c r="D3" s="8">
        <v>59667</v>
      </c>
      <c r="E3" s="8">
        <v>1738410</v>
      </c>
      <c r="F3" s="8">
        <v>810120</v>
      </c>
      <c r="G3" s="8">
        <v>1423296</v>
      </c>
      <c r="H3" s="8">
        <v>440559</v>
      </c>
      <c r="I3" s="8">
        <v>19565637</v>
      </c>
      <c r="J3" s="8">
        <v>11025489</v>
      </c>
      <c r="K3" s="8">
        <v>318411164</v>
      </c>
      <c r="L3" s="8">
        <v>64068385</v>
      </c>
      <c r="M3" s="9" t="s">
        <v>12</v>
      </c>
      <c r="N3" s="9" t="s">
        <v>53</v>
      </c>
      <c r="O3" s="9" t="s">
        <v>59</v>
      </c>
      <c r="P3" s="6" t="s">
        <v>32</v>
      </c>
    </row>
    <row r="4" spans="1:16" ht="135" customHeight="1" x14ac:dyDescent="0.25">
      <c r="A4" s="2" t="s">
        <v>50</v>
      </c>
      <c r="B4" s="3" t="s">
        <v>3</v>
      </c>
      <c r="C4" s="4">
        <v>7847678</v>
      </c>
      <c r="D4" s="4">
        <v>53811</v>
      </c>
      <c r="E4" s="4">
        <v>1679983</v>
      </c>
      <c r="F4" s="4">
        <v>646631</v>
      </c>
      <c r="G4" s="4">
        <v>1396250</v>
      </c>
      <c r="H4" s="4">
        <v>430212</v>
      </c>
      <c r="I4" s="4">
        <v>18809540</v>
      </c>
      <c r="J4" s="4">
        <v>10956751</v>
      </c>
      <c r="K4" s="4">
        <v>298756248</v>
      </c>
      <c r="L4" s="4">
        <v>59295722</v>
      </c>
      <c r="M4" s="5" t="s">
        <v>12</v>
      </c>
      <c r="N4" s="5" t="s">
        <v>54</v>
      </c>
      <c r="O4" s="5" t="s">
        <v>60</v>
      </c>
      <c r="P4" s="2" t="s">
        <v>32</v>
      </c>
    </row>
    <row r="5" spans="1:16" ht="135" customHeight="1" x14ac:dyDescent="0.25">
      <c r="A5" s="6" t="s">
        <v>50</v>
      </c>
      <c r="B5" s="7" t="s">
        <v>4</v>
      </c>
      <c r="C5" s="8">
        <v>7794040</v>
      </c>
      <c r="D5" s="8">
        <v>51807</v>
      </c>
      <c r="E5" s="8">
        <v>1571527</v>
      </c>
      <c r="F5" s="8">
        <v>622801</v>
      </c>
      <c r="G5" s="8">
        <v>1381353</v>
      </c>
      <c r="H5" s="8">
        <v>427637</v>
      </c>
      <c r="I5" s="8">
        <v>17669812</v>
      </c>
      <c r="J5" s="8">
        <v>10468134</v>
      </c>
      <c r="K5" s="8">
        <v>282613682</v>
      </c>
      <c r="L5" s="8">
        <v>54928156</v>
      </c>
      <c r="M5" s="9" t="s">
        <v>12</v>
      </c>
      <c r="N5" s="9" t="s">
        <v>55</v>
      </c>
      <c r="O5" s="9" t="s">
        <v>61</v>
      </c>
      <c r="P5" s="6" t="s">
        <v>32</v>
      </c>
    </row>
    <row r="6" spans="1:16" ht="135" customHeight="1" x14ac:dyDescent="0.25">
      <c r="A6" s="2" t="s">
        <v>50</v>
      </c>
      <c r="B6" s="3" t="s">
        <v>5</v>
      </c>
      <c r="C6" s="4">
        <v>7742329</v>
      </c>
      <c r="D6" s="4">
        <v>63078</v>
      </c>
      <c r="E6" s="4">
        <v>1658900</v>
      </c>
      <c r="F6" s="4">
        <v>627028</v>
      </c>
      <c r="G6" s="4">
        <v>1411011</v>
      </c>
      <c r="H6" s="4">
        <v>441144</v>
      </c>
      <c r="I6" s="4">
        <v>19242011</v>
      </c>
      <c r="J6" s="4">
        <v>10769949</v>
      </c>
      <c r="K6" s="4">
        <v>303094578</v>
      </c>
      <c r="L6" s="4">
        <v>60353646</v>
      </c>
      <c r="M6" s="5" t="s">
        <v>12</v>
      </c>
      <c r="N6" s="5" t="s">
        <v>55</v>
      </c>
      <c r="O6" s="5" t="s">
        <v>62</v>
      </c>
      <c r="P6" s="2" t="s">
        <v>32</v>
      </c>
    </row>
    <row r="7" spans="1:16" ht="135" customHeight="1" x14ac:dyDescent="0.25">
      <c r="A7" s="6" t="s">
        <v>50</v>
      </c>
      <c r="B7" s="7" t="s">
        <v>6</v>
      </c>
      <c r="C7" s="8">
        <v>7679411</v>
      </c>
      <c r="D7" s="8">
        <v>45276</v>
      </c>
      <c r="E7" s="8">
        <v>1743732</v>
      </c>
      <c r="F7" s="8">
        <v>870493</v>
      </c>
      <c r="G7" s="8">
        <v>1416352</v>
      </c>
      <c r="H7" s="8">
        <v>436966</v>
      </c>
      <c r="I7" s="8">
        <v>18214338</v>
      </c>
      <c r="J7" s="8">
        <v>10772431</v>
      </c>
      <c r="K7" s="8">
        <v>278728531</v>
      </c>
      <c r="L7" s="8">
        <v>55805294</v>
      </c>
      <c r="M7" s="9" t="s">
        <v>51</v>
      </c>
      <c r="N7" s="9" t="s">
        <v>56</v>
      </c>
      <c r="O7" s="9" t="s">
        <v>63</v>
      </c>
      <c r="P7" s="6" t="s">
        <v>67</v>
      </c>
    </row>
    <row r="8" spans="1:16" ht="135" customHeight="1" x14ac:dyDescent="0.25">
      <c r="A8" s="2" t="s">
        <v>50</v>
      </c>
      <c r="B8" s="3" t="s">
        <v>7</v>
      </c>
      <c r="C8" s="4">
        <v>7634205</v>
      </c>
      <c r="D8" s="4">
        <v>41550</v>
      </c>
      <c r="E8" s="4">
        <v>1870900</v>
      </c>
      <c r="F8" s="4">
        <v>812583</v>
      </c>
      <c r="G8" s="4">
        <v>1445730</v>
      </c>
      <c r="H8" s="4">
        <v>448888</v>
      </c>
      <c r="I8" s="4">
        <v>19432524</v>
      </c>
      <c r="J8" s="4">
        <v>11379901</v>
      </c>
      <c r="K8" s="4">
        <v>298014607</v>
      </c>
      <c r="L8" s="4">
        <v>58425479</v>
      </c>
      <c r="M8" s="5" t="s">
        <v>52</v>
      </c>
      <c r="N8" s="5" t="s">
        <v>57</v>
      </c>
      <c r="O8" s="5" t="s">
        <v>64</v>
      </c>
      <c r="P8" s="2" t="s">
        <v>67</v>
      </c>
    </row>
    <row r="9" spans="1:16" ht="135" customHeight="1" x14ac:dyDescent="0.25">
      <c r="A9" s="6" t="s">
        <v>50</v>
      </c>
      <c r="B9" s="7" t="s">
        <v>8</v>
      </c>
      <c r="C9" s="8">
        <v>7592652</v>
      </c>
      <c r="D9" s="8">
        <v>44340</v>
      </c>
      <c r="E9" s="8">
        <v>1817190</v>
      </c>
      <c r="F9" s="8">
        <v>822809</v>
      </c>
      <c r="G9" s="8">
        <v>1442690</v>
      </c>
      <c r="H9" s="8">
        <v>440121</v>
      </c>
      <c r="I9" s="8">
        <v>18928149</v>
      </c>
      <c r="J9" s="8">
        <v>9854995</v>
      </c>
      <c r="K9" s="8">
        <v>284673723</v>
      </c>
      <c r="L9" s="8">
        <v>61154984</v>
      </c>
      <c r="M9" s="9" t="s">
        <v>52</v>
      </c>
      <c r="N9" s="9" t="s">
        <v>57</v>
      </c>
      <c r="O9" s="9" t="s">
        <v>65</v>
      </c>
      <c r="P9" s="6" t="s">
        <v>67</v>
      </c>
    </row>
    <row r="10" spans="1:16" ht="135" customHeight="1" x14ac:dyDescent="0.25">
      <c r="A10" s="2" t="s">
        <v>50</v>
      </c>
      <c r="B10" s="3" t="s">
        <v>9</v>
      </c>
      <c r="C10" s="4">
        <v>7548459</v>
      </c>
      <c r="D10" s="4">
        <v>46076</v>
      </c>
      <c r="E10" s="4">
        <v>2051684</v>
      </c>
      <c r="F10" s="4">
        <v>910864</v>
      </c>
      <c r="G10" s="4">
        <v>1474298</v>
      </c>
      <c r="H10" s="4">
        <v>449792</v>
      </c>
      <c r="I10" s="4">
        <v>22487471</v>
      </c>
      <c r="J10" s="4">
        <v>12041625</v>
      </c>
      <c r="K10" s="4">
        <v>329080640</v>
      </c>
      <c r="L10" s="4">
        <v>71811890</v>
      </c>
      <c r="M10" s="5" t="s">
        <v>52</v>
      </c>
      <c r="N10" s="5" t="s">
        <v>57</v>
      </c>
      <c r="O10" s="5" t="s">
        <v>66</v>
      </c>
      <c r="P10" s="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customWidth="1"/>
    <col min="2" max="2" width="10.7109375" customWidth="1"/>
    <col min="3" max="3" width="16.7109375" customWidth="1"/>
    <col min="4" max="4" width="15.7109375" customWidth="1"/>
    <col min="5" max="6" width="20.7109375" customWidth="1"/>
    <col min="7" max="8" width="18.7109375" customWidth="1"/>
    <col min="9" max="9" width="20.7109375" customWidth="1"/>
    <col min="10" max="10" width="18.7109375" customWidth="1"/>
    <col min="11" max="11" width="16.7109375" customWidth="1"/>
    <col min="12" max="14" width="18.7109375" customWidth="1"/>
    <col min="15" max="15" width="20.7109375" customWidth="1"/>
    <col min="16" max="16" width="60.7109375" customWidth="1"/>
  </cols>
  <sheetData>
    <row r="1" spans="1:16" ht="30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135" customHeight="1" x14ac:dyDescent="0.25">
      <c r="A2" s="2" t="s">
        <v>68</v>
      </c>
      <c r="B2" s="3" t="s">
        <v>1</v>
      </c>
      <c r="C2" s="4">
        <v>22862</v>
      </c>
      <c r="D2" s="4">
        <v>292</v>
      </c>
      <c r="E2" s="4">
        <v>14873</v>
      </c>
      <c r="F2" s="4">
        <v>8120</v>
      </c>
      <c r="G2" s="4">
        <v>11881</v>
      </c>
      <c r="H2" s="4">
        <v>3414</v>
      </c>
      <c r="I2" s="4">
        <v>46653</v>
      </c>
      <c r="J2" s="4">
        <v>31846</v>
      </c>
      <c r="K2" s="4">
        <v>305537</v>
      </c>
      <c r="L2" s="4">
        <v>61101</v>
      </c>
      <c r="M2" s="5" t="s">
        <v>69</v>
      </c>
      <c r="N2" s="5" t="s">
        <v>70</v>
      </c>
      <c r="O2" s="5" t="s">
        <v>79</v>
      </c>
      <c r="P2" s="2" t="s">
        <v>32</v>
      </c>
    </row>
    <row r="3" spans="1:16" ht="135" customHeight="1" x14ac:dyDescent="0.25">
      <c r="A3" s="6" t="s">
        <v>68</v>
      </c>
      <c r="B3" s="7" t="s">
        <v>2</v>
      </c>
      <c r="C3" s="8">
        <v>22571</v>
      </c>
      <c r="D3" s="8">
        <v>316</v>
      </c>
      <c r="E3" s="8">
        <v>11996</v>
      </c>
      <c r="F3" s="8">
        <v>6462</v>
      </c>
      <c r="G3" s="8">
        <v>14687</v>
      </c>
      <c r="H3" s="8">
        <v>4094</v>
      </c>
      <c r="I3" s="8">
        <v>38819</v>
      </c>
      <c r="J3" s="8">
        <v>24909</v>
      </c>
      <c r="K3" s="8">
        <v>439549</v>
      </c>
      <c r="L3" s="8">
        <v>83757</v>
      </c>
      <c r="M3" s="9" t="s">
        <v>12</v>
      </c>
      <c r="N3" s="9" t="s">
        <v>71</v>
      </c>
      <c r="O3" s="9" t="s">
        <v>80</v>
      </c>
      <c r="P3" s="6" t="s">
        <v>32</v>
      </c>
    </row>
    <row r="4" spans="1:16" ht="135" customHeight="1" x14ac:dyDescent="0.25">
      <c r="A4" s="2" t="s">
        <v>68</v>
      </c>
      <c r="B4" s="3" t="s">
        <v>3</v>
      </c>
      <c r="C4" s="4">
        <v>22255</v>
      </c>
      <c r="D4" s="4">
        <v>287</v>
      </c>
      <c r="E4" s="4">
        <v>13199</v>
      </c>
      <c r="F4" s="4">
        <v>6519</v>
      </c>
      <c r="G4" s="4">
        <v>13924</v>
      </c>
      <c r="H4" s="4">
        <v>4096</v>
      </c>
      <c r="I4" s="4">
        <v>41167</v>
      </c>
      <c r="J4" s="4">
        <v>31846</v>
      </c>
      <c r="K4" s="4">
        <v>431599</v>
      </c>
      <c r="L4" s="4">
        <v>99528</v>
      </c>
      <c r="M4" s="5" t="s">
        <v>13</v>
      </c>
      <c r="N4" s="5" t="s">
        <v>72</v>
      </c>
      <c r="O4" s="5" t="s">
        <v>81</v>
      </c>
      <c r="P4" s="2" t="s">
        <v>32</v>
      </c>
    </row>
    <row r="5" spans="1:16" ht="135" customHeight="1" x14ac:dyDescent="0.25">
      <c r="A5" s="6" t="s">
        <v>68</v>
      </c>
      <c r="B5" s="7" t="s">
        <v>4</v>
      </c>
      <c r="C5" s="8">
        <v>21968</v>
      </c>
      <c r="D5" s="8">
        <v>274</v>
      </c>
      <c r="E5" s="8">
        <v>11751</v>
      </c>
      <c r="F5" s="8">
        <v>9471</v>
      </c>
      <c r="G5" s="8">
        <v>13514</v>
      </c>
      <c r="H5" s="8">
        <v>3853</v>
      </c>
      <c r="I5" s="8">
        <v>35379</v>
      </c>
      <c r="J5" s="8">
        <v>33231</v>
      </c>
      <c r="K5" s="8">
        <v>392319</v>
      </c>
      <c r="L5" s="8">
        <v>95365</v>
      </c>
      <c r="M5" s="9" t="s">
        <v>10</v>
      </c>
      <c r="N5" s="9" t="s">
        <v>73</v>
      </c>
      <c r="O5" s="9" t="s">
        <v>82</v>
      </c>
      <c r="P5" s="6" t="s">
        <v>32</v>
      </c>
    </row>
    <row r="6" spans="1:16" ht="135" customHeight="1" x14ac:dyDescent="0.25">
      <c r="A6" s="2" t="s">
        <v>68</v>
      </c>
      <c r="B6" s="3" t="s">
        <v>5</v>
      </c>
      <c r="C6" s="4">
        <v>21694</v>
      </c>
      <c r="D6" s="4">
        <v>235</v>
      </c>
      <c r="E6" s="4">
        <v>7979</v>
      </c>
      <c r="F6" s="4">
        <v>10613</v>
      </c>
      <c r="G6" s="4">
        <v>14529</v>
      </c>
      <c r="H6" s="4">
        <v>4120</v>
      </c>
      <c r="I6" s="4">
        <v>23247</v>
      </c>
      <c r="J6" s="4">
        <v>26964</v>
      </c>
      <c r="K6" s="4">
        <v>412288</v>
      </c>
      <c r="L6" s="4">
        <v>90546</v>
      </c>
      <c r="M6" s="5" t="s">
        <v>11</v>
      </c>
      <c r="N6" s="5" t="s">
        <v>74</v>
      </c>
      <c r="O6" s="5" t="s">
        <v>83</v>
      </c>
      <c r="P6" s="2" t="s">
        <v>32</v>
      </c>
    </row>
    <row r="7" spans="1:16" ht="135" customHeight="1" x14ac:dyDescent="0.25">
      <c r="A7" s="6" t="s">
        <v>68</v>
      </c>
      <c r="B7" s="7" t="s">
        <v>6</v>
      </c>
      <c r="C7" s="8">
        <v>21459</v>
      </c>
      <c r="D7" s="8">
        <v>265</v>
      </c>
      <c r="E7" s="8">
        <v>13370</v>
      </c>
      <c r="F7" s="8">
        <v>41310</v>
      </c>
      <c r="G7" s="8">
        <v>17927</v>
      </c>
      <c r="H7" s="8">
        <v>4766</v>
      </c>
      <c r="I7" s="8">
        <v>35085</v>
      </c>
      <c r="J7" s="8">
        <v>63235</v>
      </c>
      <c r="K7" s="8">
        <v>509317</v>
      </c>
      <c r="L7" s="8">
        <v>94885</v>
      </c>
      <c r="M7" s="9" t="s">
        <v>13</v>
      </c>
      <c r="N7" s="9" t="s">
        <v>75</v>
      </c>
      <c r="O7" s="9" t="s">
        <v>84</v>
      </c>
      <c r="P7" s="6" t="s">
        <v>67</v>
      </c>
    </row>
    <row r="8" spans="1:16" ht="135" customHeight="1" x14ac:dyDescent="0.25">
      <c r="A8" s="2" t="s">
        <v>68</v>
      </c>
      <c r="B8" s="3" t="s">
        <v>7</v>
      </c>
      <c r="C8" s="4">
        <v>21194</v>
      </c>
      <c r="D8" s="4">
        <v>351</v>
      </c>
      <c r="E8" s="4">
        <v>16631</v>
      </c>
      <c r="F8" s="4">
        <v>39454</v>
      </c>
      <c r="G8" s="4">
        <v>20129</v>
      </c>
      <c r="H8" s="4">
        <v>4941</v>
      </c>
      <c r="I8" s="4">
        <v>45176</v>
      </c>
      <c r="J8" s="4">
        <v>70123</v>
      </c>
      <c r="K8" s="4">
        <v>591801</v>
      </c>
      <c r="L8" s="4">
        <v>103891</v>
      </c>
      <c r="M8" s="5" t="s">
        <v>11</v>
      </c>
      <c r="N8" s="5" t="s">
        <v>76</v>
      </c>
      <c r="O8" s="5" t="s">
        <v>85</v>
      </c>
      <c r="P8" s="2" t="s">
        <v>67</v>
      </c>
    </row>
    <row r="9" spans="1:16" ht="135" customHeight="1" x14ac:dyDescent="0.25">
      <c r="A9" s="6" t="s">
        <v>68</v>
      </c>
      <c r="B9" s="7" t="s">
        <v>8</v>
      </c>
      <c r="C9" s="8">
        <v>20843</v>
      </c>
      <c r="D9" s="8">
        <v>251</v>
      </c>
      <c r="E9" s="8">
        <v>12828</v>
      </c>
      <c r="F9" s="8">
        <v>42432</v>
      </c>
      <c r="G9" s="8">
        <v>17340</v>
      </c>
      <c r="H9" s="8">
        <v>4193</v>
      </c>
      <c r="I9" s="8">
        <v>34635</v>
      </c>
      <c r="J9" s="8">
        <v>63708</v>
      </c>
      <c r="K9" s="8">
        <v>523075</v>
      </c>
      <c r="L9" s="8">
        <v>93407</v>
      </c>
      <c r="M9" s="9" t="s">
        <v>13</v>
      </c>
      <c r="N9" s="9" t="s">
        <v>77</v>
      </c>
      <c r="O9" s="9" t="s">
        <v>86</v>
      </c>
      <c r="P9" s="6" t="s">
        <v>67</v>
      </c>
    </row>
    <row r="10" spans="1:16" ht="135" customHeight="1" x14ac:dyDescent="0.25">
      <c r="A10" s="2" t="s">
        <v>68</v>
      </c>
      <c r="B10" s="3" t="s">
        <v>9</v>
      </c>
      <c r="C10" s="4">
        <v>20592</v>
      </c>
      <c r="D10" s="4">
        <v>257</v>
      </c>
      <c r="E10" s="4">
        <v>16107</v>
      </c>
      <c r="F10" s="4">
        <v>14595</v>
      </c>
      <c r="G10" s="4">
        <v>21832</v>
      </c>
      <c r="H10" s="4">
        <v>4604</v>
      </c>
      <c r="I10" s="4">
        <v>43074</v>
      </c>
      <c r="J10" s="4">
        <v>40636</v>
      </c>
      <c r="K10" s="4">
        <v>596791</v>
      </c>
      <c r="L10" s="4">
        <v>103940</v>
      </c>
      <c r="M10" s="5" t="s">
        <v>11</v>
      </c>
      <c r="N10" s="5" t="s">
        <v>78</v>
      </c>
      <c r="O10" s="5" t="s">
        <v>87</v>
      </c>
      <c r="P10" s="2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4.7109375" customWidth="1"/>
    <col min="2" max="2" width="10.7109375" customWidth="1"/>
    <col min="3" max="3" width="16.7109375" customWidth="1"/>
    <col min="4" max="4" width="15.7109375" customWidth="1"/>
    <col min="5" max="6" width="20.7109375" customWidth="1"/>
    <col min="7" max="8" width="18.7109375" customWidth="1"/>
    <col min="9" max="9" width="20.7109375" customWidth="1"/>
    <col min="10" max="10" width="18.7109375" customWidth="1"/>
    <col min="11" max="11" width="16.7109375" customWidth="1"/>
    <col min="12" max="14" width="18.7109375" customWidth="1"/>
    <col min="15" max="15" width="20.7109375" customWidth="1"/>
    <col min="16" max="16" width="60.7109375" customWidth="1"/>
  </cols>
  <sheetData>
    <row r="1" spans="1:16" ht="30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135" customHeight="1" x14ac:dyDescent="0.25">
      <c r="A2" s="2" t="s">
        <v>88</v>
      </c>
      <c r="B2" s="13" t="s">
        <v>1</v>
      </c>
      <c r="C2" s="4" t="s">
        <v>89</v>
      </c>
      <c r="D2" s="4" t="s">
        <v>89</v>
      </c>
      <c r="E2" s="11">
        <v>28822</v>
      </c>
      <c r="F2" s="11">
        <v>12899</v>
      </c>
      <c r="G2" s="11">
        <v>24244</v>
      </c>
      <c r="H2" s="11">
        <v>9015</v>
      </c>
      <c r="I2" s="4">
        <v>156084</v>
      </c>
      <c r="J2" s="4">
        <v>73894</v>
      </c>
      <c r="K2" s="4">
        <v>1044680</v>
      </c>
      <c r="L2" s="4">
        <v>241354</v>
      </c>
      <c r="M2" s="5" t="s">
        <v>12</v>
      </c>
      <c r="N2" s="5" t="s">
        <v>90</v>
      </c>
      <c r="O2" s="5" t="s">
        <v>99</v>
      </c>
      <c r="P2" s="2" t="s">
        <v>32</v>
      </c>
    </row>
    <row r="3" spans="1:16" ht="135" customHeight="1" x14ac:dyDescent="0.25">
      <c r="A3" s="6" t="s">
        <v>88</v>
      </c>
      <c r="B3" s="7" t="s">
        <v>2</v>
      </c>
      <c r="C3" s="8" t="s">
        <v>89</v>
      </c>
      <c r="D3" s="8" t="s">
        <v>89</v>
      </c>
      <c r="E3" s="8">
        <v>29676</v>
      </c>
      <c r="F3" s="8">
        <v>13794</v>
      </c>
      <c r="G3" s="8">
        <v>26035</v>
      </c>
      <c r="H3" s="8">
        <v>9650</v>
      </c>
      <c r="I3" s="8">
        <v>168011</v>
      </c>
      <c r="J3" s="8">
        <v>79819</v>
      </c>
      <c r="K3" s="8">
        <v>1141312</v>
      </c>
      <c r="L3" s="8">
        <v>258048</v>
      </c>
      <c r="M3" s="9" t="s">
        <v>13</v>
      </c>
      <c r="N3" s="9" t="s">
        <v>91</v>
      </c>
      <c r="O3" s="9" t="s">
        <v>100</v>
      </c>
      <c r="P3" s="6" t="s">
        <v>32</v>
      </c>
    </row>
    <row r="4" spans="1:16" ht="135" customHeight="1" x14ac:dyDescent="0.25">
      <c r="A4" s="2" t="s">
        <v>88</v>
      </c>
      <c r="B4" s="3" t="s">
        <v>3</v>
      </c>
      <c r="C4" s="4" t="s">
        <v>89</v>
      </c>
      <c r="D4" s="4" t="s">
        <v>89</v>
      </c>
      <c r="E4" s="4">
        <v>28526</v>
      </c>
      <c r="F4" s="4">
        <v>10655</v>
      </c>
      <c r="G4" s="4">
        <v>24657</v>
      </c>
      <c r="H4" s="4">
        <v>8830</v>
      </c>
      <c r="I4" s="4">
        <v>157997</v>
      </c>
      <c r="J4" s="4">
        <v>75030</v>
      </c>
      <c r="K4" s="4">
        <v>999503</v>
      </c>
      <c r="L4" s="4">
        <v>231014</v>
      </c>
      <c r="M4" s="5" t="s">
        <v>11</v>
      </c>
      <c r="N4" s="5" t="s">
        <v>92</v>
      </c>
      <c r="O4" s="5" t="s">
        <v>101</v>
      </c>
      <c r="P4" s="2" t="s">
        <v>32</v>
      </c>
    </row>
    <row r="5" spans="1:16" ht="135" customHeight="1" x14ac:dyDescent="0.25">
      <c r="A5" s="6" t="s">
        <v>88</v>
      </c>
      <c r="B5" s="7" t="s">
        <v>4</v>
      </c>
      <c r="C5" s="8" t="s">
        <v>89</v>
      </c>
      <c r="D5" s="8" t="s">
        <v>89</v>
      </c>
      <c r="E5" s="8">
        <v>26608</v>
      </c>
      <c r="F5" s="8">
        <v>10902</v>
      </c>
      <c r="G5" s="8">
        <v>25126</v>
      </c>
      <c r="H5" s="8">
        <v>9825</v>
      </c>
      <c r="I5" s="8">
        <v>161987</v>
      </c>
      <c r="J5" s="8">
        <v>84009</v>
      </c>
      <c r="K5" s="8">
        <v>1108787</v>
      </c>
      <c r="L5" s="8">
        <v>269134</v>
      </c>
      <c r="M5" s="9" t="s">
        <v>11</v>
      </c>
      <c r="N5" s="9" t="s">
        <v>93</v>
      </c>
      <c r="O5" s="9" t="s">
        <v>102</v>
      </c>
      <c r="P5" s="6" t="s">
        <v>32</v>
      </c>
    </row>
    <row r="6" spans="1:16" ht="135" customHeight="1" x14ac:dyDescent="0.25">
      <c r="A6" s="2" t="s">
        <v>88</v>
      </c>
      <c r="B6" s="3" t="s">
        <v>5</v>
      </c>
      <c r="C6" s="4" t="s">
        <v>89</v>
      </c>
      <c r="D6" s="4" t="s">
        <v>89</v>
      </c>
      <c r="E6" s="4">
        <v>27687</v>
      </c>
      <c r="F6" s="4">
        <v>10926</v>
      </c>
      <c r="G6" s="4">
        <v>25879</v>
      </c>
      <c r="H6" s="4">
        <v>10072</v>
      </c>
      <c r="I6" s="4">
        <v>164853</v>
      </c>
      <c r="J6" s="4">
        <v>80069</v>
      </c>
      <c r="K6" s="4">
        <v>1080486</v>
      </c>
      <c r="L6" s="4">
        <v>264565</v>
      </c>
      <c r="M6" s="5" t="s">
        <v>11</v>
      </c>
      <c r="N6" s="5" t="s">
        <v>94</v>
      </c>
      <c r="O6" s="5" t="s">
        <v>103</v>
      </c>
      <c r="P6" s="2" t="s">
        <v>32</v>
      </c>
    </row>
    <row r="7" spans="1:16" ht="135" customHeight="1" x14ac:dyDescent="0.25">
      <c r="A7" s="6" t="s">
        <v>88</v>
      </c>
      <c r="B7" s="7" t="s">
        <v>6</v>
      </c>
      <c r="C7" s="8" t="s">
        <v>89</v>
      </c>
      <c r="D7" s="8" t="s">
        <v>89</v>
      </c>
      <c r="E7" s="8">
        <v>34939</v>
      </c>
      <c r="F7" s="8">
        <v>15398</v>
      </c>
      <c r="G7" s="8">
        <v>31826</v>
      </c>
      <c r="H7" s="8">
        <v>12344</v>
      </c>
      <c r="I7" s="8">
        <v>210036</v>
      </c>
      <c r="J7" s="8">
        <v>97492</v>
      </c>
      <c r="K7" s="8">
        <v>1503657</v>
      </c>
      <c r="L7" s="8">
        <v>353800</v>
      </c>
      <c r="M7" s="9" t="s">
        <v>13</v>
      </c>
      <c r="N7" s="9" t="s">
        <v>95</v>
      </c>
      <c r="O7" s="9" t="s">
        <v>104</v>
      </c>
      <c r="P7" s="6" t="s">
        <v>67</v>
      </c>
    </row>
    <row r="8" spans="1:16" ht="135" customHeight="1" x14ac:dyDescent="0.25">
      <c r="A8" s="2" t="s">
        <v>88</v>
      </c>
      <c r="B8" s="3" t="s">
        <v>7</v>
      </c>
      <c r="C8" s="4" t="s">
        <v>89</v>
      </c>
      <c r="D8" s="4" t="s">
        <v>89</v>
      </c>
      <c r="E8" s="4">
        <v>33179</v>
      </c>
      <c r="F8" s="4">
        <v>15735</v>
      </c>
      <c r="G8" s="4">
        <v>29695</v>
      </c>
      <c r="H8" s="4">
        <v>10901</v>
      </c>
      <c r="I8" s="4">
        <v>192587</v>
      </c>
      <c r="J8" s="4">
        <v>112703</v>
      </c>
      <c r="K8" s="4">
        <v>1216467</v>
      </c>
      <c r="L8" s="4">
        <v>305500</v>
      </c>
      <c r="M8" s="5" t="s">
        <v>13</v>
      </c>
      <c r="N8" s="5" t="s">
        <v>96</v>
      </c>
      <c r="O8" s="5" t="s">
        <v>105</v>
      </c>
      <c r="P8" s="2" t="s">
        <v>67</v>
      </c>
    </row>
    <row r="9" spans="1:16" ht="135" customHeight="1" x14ac:dyDescent="0.25">
      <c r="A9" s="6" t="s">
        <v>88</v>
      </c>
      <c r="B9" s="7" t="s">
        <v>8</v>
      </c>
      <c r="C9" s="8" t="s">
        <v>89</v>
      </c>
      <c r="D9" s="8" t="s">
        <v>89</v>
      </c>
      <c r="E9" s="8">
        <v>33245</v>
      </c>
      <c r="F9" s="8">
        <v>13637</v>
      </c>
      <c r="G9" s="8">
        <v>38431</v>
      </c>
      <c r="H9" s="8">
        <v>10142</v>
      </c>
      <c r="I9" s="8">
        <v>177297</v>
      </c>
      <c r="J9" s="8">
        <v>72249</v>
      </c>
      <c r="K9" s="8">
        <v>1200629</v>
      </c>
      <c r="L9" s="8">
        <v>296823</v>
      </c>
      <c r="M9" s="9" t="s">
        <v>11</v>
      </c>
      <c r="N9" s="9" t="s">
        <v>97</v>
      </c>
      <c r="O9" s="9" t="s">
        <v>106</v>
      </c>
      <c r="P9" s="6" t="s">
        <v>67</v>
      </c>
    </row>
    <row r="10" spans="1:16" ht="135" customHeight="1" x14ac:dyDescent="0.25">
      <c r="A10" s="2" t="s">
        <v>88</v>
      </c>
      <c r="B10" s="3" t="s">
        <v>9</v>
      </c>
      <c r="C10" s="4" t="s">
        <v>89</v>
      </c>
      <c r="D10" s="4" t="s">
        <v>89</v>
      </c>
      <c r="E10" s="4">
        <v>34413</v>
      </c>
      <c r="F10" s="4">
        <v>16278</v>
      </c>
      <c r="G10" s="4">
        <v>41713</v>
      </c>
      <c r="H10" s="4">
        <v>10768</v>
      </c>
      <c r="I10" s="4">
        <v>188461</v>
      </c>
      <c r="J10" s="4">
        <v>107409</v>
      </c>
      <c r="K10" s="4">
        <v>1207065</v>
      </c>
      <c r="L10" s="4">
        <v>312013</v>
      </c>
      <c r="M10" s="5" t="s">
        <v>10</v>
      </c>
      <c r="N10" s="5" t="s">
        <v>98</v>
      </c>
      <c r="O10" s="5" t="s">
        <v>107</v>
      </c>
      <c r="P10" s="2" t="s">
        <v>67</v>
      </c>
    </row>
    <row r="12" spans="1:16" ht="30" customHeight="1" x14ac:dyDescent="0.25">
      <c r="A12" s="10" t="s">
        <v>108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</sheetData>
  <mergeCells count="1">
    <mergeCell ref="A12:P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BE36-EF6C-4D28-A8FB-45DF94B99AFB}">
  <dimension ref="A1:F3"/>
  <sheetViews>
    <sheetView tabSelected="1" workbookViewId="0">
      <selection activeCell="K9" sqref="K9"/>
    </sheetView>
  </sheetViews>
  <sheetFormatPr defaultRowHeight="15" x14ac:dyDescent="0.25"/>
  <sheetData>
    <row r="1" spans="1:6" x14ac:dyDescent="0.25">
      <c r="A1" s="15" t="s">
        <v>201</v>
      </c>
      <c r="B1" s="11">
        <v>28822</v>
      </c>
      <c r="C1" s="11">
        <v>12899</v>
      </c>
      <c r="D1" s="11">
        <v>24244</v>
      </c>
      <c r="E1" s="11">
        <v>9015</v>
      </c>
      <c r="F1" s="12">
        <f>SUM(B1:E1,B3:E3)</f>
        <v>4391339</v>
      </c>
    </row>
    <row r="3" spans="1:6" x14ac:dyDescent="0.25">
      <c r="A3" s="14" t="s">
        <v>202</v>
      </c>
      <c r="B3" s="11">
        <v>1700774</v>
      </c>
      <c r="C3" s="11">
        <v>750127</v>
      </c>
      <c r="D3" s="11">
        <v>1432346</v>
      </c>
      <c r="E3" s="11">
        <v>433112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customWidth="1"/>
    <col min="2" max="2" width="10.7109375" customWidth="1"/>
    <col min="3" max="3" width="16.7109375" customWidth="1"/>
    <col min="4" max="4" width="15.7109375" customWidth="1"/>
    <col min="5" max="6" width="20.7109375" customWidth="1"/>
    <col min="7" max="8" width="18.7109375" customWidth="1"/>
    <col min="9" max="9" width="20.7109375" customWidth="1"/>
    <col min="10" max="10" width="18.7109375" customWidth="1"/>
    <col min="11" max="11" width="16.7109375" customWidth="1"/>
    <col min="12" max="14" width="18.7109375" customWidth="1"/>
    <col min="15" max="15" width="20.7109375" customWidth="1"/>
    <col min="16" max="16" width="60.7109375" customWidth="1"/>
  </cols>
  <sheetData>
    <row r="1" spans="1:16" ht="30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135" customHeight="1" x14ac:dyDescent="0.25">
      <c r="A2" s="2" t="s">
        <v>109</v>
      </c>
      <c r="B2" s="3" t="s">
        <v>1</v>
      </c>
      <c r="C2" s="4">
        <v>104965</v>
      </c>
      <c r="D2" s="4">
        <v>11686</v>
      </c>
      <c r="E2" s="4">
        <v>66690</v>
      </c>
      <c r="F2" s="4">
        <v>38425</v>
      </c>
      <c r="G2" s="4">
        <v>15607</v>
      </c>
      <c r="H2" s="4">
        <v>9904</v>
      </c>
      <c r="I2" s="4">
        <v>246706</v>
      </c>
      <c r="J2" s="4">
        <v>96108</v>
      </c>
      <c r="K2" s="4">
        <v>404887</v>
      </c>
      <c r="L2" s="4">
        <v>163190</v>
      </c>
      <c r="M2" s="5" t="s">
        <v>110</v>
      </c>
      <c r="N2" s="5" t="s">
        <v>118</v>
      </c>
      <c r="O2" s="5" t="s">
        <v>127</v>
      </c>
      <c r="P2" s="2" t="s">
        <v>32</v>
      </c>
    </row>
    <row r="3" spans="1:16" ht="135" customHeight="1" x14ac:dyDescent="0.25">
      <c r="A3" s="6" t="s">
        <v>109</v>
      </c>
      <c r="B3" s="7" t="s">
        <v>2</v>
      </c>
      <c r="C3" s="8">
        <v>93276</v>
      </c>
      <c r="D3" s="8">
        <v>13906</v>
      </c>
      <c r="E3" s="8">
        <v>59165</v>
      </c>
      <c r="F3" s="8">
        <v>15600</v>
      </c>
      <c r="G3" s="8">
        <v>17314</v>
      </c>
      <c r="H3" s="8">
        <v>10458</v>
      </c>
      <c r="I3" s="8">
        <v>223230</v>
      </c>
      <c r="J3" s="8">
        <v>61529</v>
      </c>
      <c r="K3" s="8">
        <v>452259</v>
      </c>
      <c r="L3" s="8">
        <v>178704</v>
      </c>
      <c r="M3" s="9" t="s">
        <v>111</v>
      </c>
      <c r="N3" s="9" t="s">
        <v>119</v>
      </c>
      <c r="O3" s="9" t="s">
        <v>128</v>
      </c>
      <c r="P3" s="6" t="s">
        <v>32</v>
      </c>
    </row>
    <row r="4" spans="1:16" ht="135" customHeight="1" x14ac:dyDescent="0.25">
      <c r="A4" s="2" t="s">
        <v>109</v>
      </c>
      <c r="B4" s="3" t="s">
        <v>3</v>
      </c>
      <c r="C4" s="4">
        <v>79372</v>
      </c>
      <c r="D4" s="4">
        <v>12392</v>
      </c>
      <c r="E4" s="4">
        <v>52305</v>
      </c>
      <c r="F4" s="4">
        <v>16190</v>
      </c>
      <c r="G4" s="4">
        <v>15362</v>
      </c>
      <c r="H4" s="4">
        <v>9795</v>
      </c>
      <c r="I4" s="4">
        <v>197192</v>
      </c>
      <c r="J4" s="4">
        <v>58118</v>
      </c>
      <c r="K4" s="4">
        <v>396982</v>
      </c>
      <c r="L4" s="4">
        <v>163735</v>
      </c>
      <c r="M4" s="5" t="s">
        <v>112</v>
      </c>
      <c r="N4" s="5" t="s">
        <v>120</v>
      </c>
      <c r="O4" s="5" t="s">
        <v>129</v>
      </c>
      <c r="P4" s="2" t="s">
        <v>32</v>
      </c>
    </row>
    <row r="5" spans="1:16" ht="135" customHeight="1" x14ac:dyDescent="0.25">
      <c r="A5" s="6" t="s">
        <v>109</v>
      </c>
      <c r="B5" s="7" t="s">
        <v>4</v>
      </c>
      <c r="C5" s="8">
        <v>66982</v>
      </c>
      <c r="D5" s="8">
        <v>14435</v>
      </c>
      <c r="E5" s="8">
        <v>49156</v>
      </c>
      <c r="F5" s="8">
        <v>15808</v>
      </c>
      <c r="G5" s="8">
        <v>15165</v>
      </c>
      <c r="H5" s="8">
        <v>11043</v>
      </c>
      <c r="I5" s="8">
        <v>193334</v>
      </c>
      <c r="J5" s="8">
        <v>59875</v>
      </c>
      <c r="K5" s="8">
        <v>396254</v>
      </c>
      <c r="L5" s="8">
        <v>204258</v>
      </c>
      <c r="M5" s="9" t="s">
        <v>113</v>
      </c>
      <c r="N5" s="9" t="s">
        <v>121</v>
      </c>
      <c r="O5" s="9" t="s">
        <v>130</v>
      </c>
      <c r="P5" s="6" t="s">
        <v>32</v>
      </c>
    </row>
    <row r="6" spans="1:16" ht="135" customHeight="1" x14ac:dyDescent="0.25">
      <c r="A6" s="2" t="s">
        <v>109</v>
      </c>
      <c r="B6" s="3" t="s">
        <v>5</v>
      </c>
      <c r="C6" s="4">
        <v>52548</v>
      </c>
      <c r="D6" s="4">
        <v>20926</v>
      </c>
      <c r="E6" s="4">
        <v>42070</v>
      </c>
      <c r="F6" s="4">
        <v>15706</v>
      </c>
      <c r="G6" s="4">
        <v>17800</v>
      </c>
      <c r="H6" s="4">
        <v>15013</v>
      </c>
      <c r="I6" s="4">
        <v>182481</v>
      </c>
      <c r="J6" s="4">
        <v>48721</v>
      </c>
      <c r="K6" s="4">
        <v>474964</v>
      </c>
      <c r="L6" s="4">
        <v>289651</v>
      </c>
      <c r="M6" s="5" t="s">
        <v>11</v>
      </c>
      <c r="N6" s="5" t="s">
        <v>122</v>
      </c>
      <c r="O6" s="5" t="s">
        <v>131</v>
      </c>
      <c r="P6" s="2" t="s">
        <v>32</v>
      </c>
    </row>
    <row r="7" spans="1:16" ht="135" customHeight="1" x14ac:dyDescent="0.25">
      <c r="A7" s="6" t="s">
        <v>109</v>
      </c>
      <c r="B7" s="7" t="s">
        <v>6</v>
      </c>
      <c r="C7" s="8">
        <v>31624</v>
      </c>
      <c r="D7" s="8">
        <v>20398</v>
      </c>
      <c r="E7" s="8">
        <v>33738</v>
      </c>
      <c r="F7" s="8">
        <v>71493</v>
      </c>
      <c r="G7" s="8">
        <v>13735</v>
      </c>
      <c r="H7" s="8">
        <v>14161</v>
      </c>
      <c r="I7" s="8">
        <v>153474</v>
      </c>
      <c r="J7" s="8">
        <v>101435</v>
      </c>
      <c r="K7" s="8">
        <v>383102</v>
      </c>
      <c r="L7" s="8">
        <v>270644</v>
      </c>
      <c r="M7" s="9" t="s">
        <v>114</v>
      </c>
      <c r="N7" s="9" t="s">
        <v>123</v>
      </c>
      <c r="O7" s="9" t="s">
        <v>132</v>
      </c>
      <c r="P7" s="6" t="s">
        <v>67</v>
      </c>
    </row>
    <row r="8" spans="1:16" ht="135" customHeight="1" x14ac:dyDescent="0.25">
      <c r="A8" s="2" t="s">
        <v>109</v>
      </c>
      <c r="B8" s="3" t="s">
        <v>7</v>
      </c>
      <c r="C8" s="4">
        <v>11224</v>
      </c>
      <c r="D8" s="4">
        <v>7459</v>
      </c>
      <c r="E8" s="4">
        <v>25226</v>
      </c>
      <c r="F8" s="4">
        <v>9559</v>
      </c>
      <c r="G8" s="4">
        <v>4752</v>
      </c>
      <c r="H8" s="4">
        <v>5432</v>
      </c>
      <c r="I8" s="4">
        <v>111436</v>
      </c>
      <c r="J8" s="4">
        <v>35496</v>
      </c>
      <c r="K8" s="4">
        <v>124580</v>
      </c>
      <c r="L8" s="4">
        <v>98796</v>
      </c>
      <c r="M8" s="5" t="s">
        <v>115</v>
      </c>
      <c r="N8" s="5" t="s">
        <v>124</v>
      </c>
      <c r="O8" s="5" t="s">
        <v>133</v>
      </c>
      <c r="P8" s="2" t="s">
        <v>67</v>
      </c>
    </row>
    <row r="9" spans="1:16" ht="135" customHeight="1" x14ac:dyDescent="0.25">
      <c r="A9" s="6" t="s">
        <v>109</v>
      </c>
      <c r="B9" s="7" t="s">
        <v>8</v>
      </c>
      <c r="C9" s="8">
        <v>3765</v>
      </c>
      <c r="D9" s="8">
        <v>697</v>
      </c>
      <c r="E9" s="8">
        <v>20273</v>
      </c>
      <c r="F9" s="8">
        <v>28371</v>
      </c>
      <c r="G9" s="8">
        <v>1260</v>
      </c>
      <c r="H9" s="8">
        <v>448</v>
      </c>
      <c r="I9" s="8">
        <v>99716</v>
      </c>
      <c r="J9" s="8">
        <v>49723</v>
      </c>
      <c r="K9" s="8">
        <v>37877</v>
      </c>
      <c r="L9" s="8">
        <v>10476</v>
      </c>
      <c r="M9" s="9" t="s">
        <v>116</v>
      </c>
      <c r="N9" s="9" t="s">
        <v>125</v>
      </c>
      <c r="O9" s="9" t="s">
        <v>134</v>
      </c>
      <c r="P9" s="6" t="s">
        <v>67</v>
      </c>
    </row>
    <row r="10" spans="1:16" ht="135" customHeight="1" x14ac:dyDescent="0.25">
      <c r="A10" s="2" t="s">
        <v>109</v>
      </c>
      <c r="B10" s="3" t="s">
        <v>9</v>
      </c>
      <c r="C10" s="4">
        <v>3067</v>
      </c>
      <c r="D10" s="4">
        <v>351</v>
      </c>
      <c r="E10" s="4">
        <v>15441</v>
      </c>
      <c r="F10" s="4">
        <v>28914</v>
      </c>
      <c r="G10" s="4">
        <v>738</v>
      </c>
      <c r="H10" s="4">
        <v>409</v>
      </c>
      <c r="I10" s="4">
        <v>112353</v>
      </c>
      <c r="J10" s="4">
        <v>53611</v>
      </c>
      <c r="K10" s="4">
        <v>20760</v>
      </c>
      <c r="L10" s="4">
        <v>11414</v>
      </c>
      <c r="M10" s="5" t="s">
        <v>117</v>
      </c>
      <c r="N10" s="5" t="s">
        <v>126</v>
      </c>
      <c r="O10" s="5" t="s">
        <v>135</v>
      </c>
      <c r="P10" s="2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customWidth="1"/>
    <col min="2" max="2" width="10.7109375" customWidth="1"/>
    <col min="3" max="3" width="16.7109375" customWidth="1"/>
    <col min="4" max="4" width="15.7109375" customWidth="1"/>
    <col min="5" max="6" width="20.7109375" customWidth="1"/>
    <col min="7" max="8" width="18.7109375" customWidth="1"/>
    <col min="9" max="9" width="20.7109375" customWidth="1"/>
    <col min="10" max="10" width="18.7109375" customWidth="1"/>
    <col min="11" max="11" width="16.7109375" customWidth="1"/>
    <col min="12" max="14" width="18.7109375" customWidth="1"/>
    <col min="15" max="15" width="20.7109375" customWidth="1"/>
    <col min="16" max="16" width="60.7109375" customWidth="1"/>
  </cols>
  <sheetData>
    <row r="1" spans="1:16" ht="30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135" customHeight="1" x14ac:dyDescent="0.25">
      <c r="A2" s="2" t="s">
        <v>136</v>
      </c>
      <c r="B2" s="3" t="s">
        <v>1</v>
      </c>
      <c r="C2" s="4">
        <v>229816</v>
      </c>
      <c r="D2" s="4">
        <v>213</v>
      </c>
      <c r="E2" s="4">
        <v>22402</v>
      </c>
      <c r="F2" s="4">
        <v>10866</v>
      </c>
      <c r="G2" s="4">
        <v>2186</v>
      </c>
      <c r="H2" s="4">
        <v>792</v>
      </c>
      <c r="I2" s="4">
        <v>70149</v>
      </c>
      <c r="J2" s="4">
        <v>33771</v>
      </c>
      <c r="K2" s="4">
        <v>48725</v>
      </c>
      <c r="L2" s="4">
        <v>11574</v>
      </c>
      <c r="M2" s="5" t="s">
        <v>137</v>
      </c>
      <c r="N2" s="5" t="s">
        <v>141</v>
      </c>
      <c r="O2" s="5" t="s">
        <v>150</v>
      </c>
      <c r="P2" s="2" t="s">
        <v>32</v>
      </c>
    </row>
    <row r="3" spans="1:16" ht="135" customHeight="1" x14ac:dyDescent="0.25">
      <c r="A3" s="6" t="s">
        <v>136</v>
      </c>
      <c r="B3" s="7" t="s">
        <v>2</v>
      </c>
      <c r="C3" s="8">
        <v>229605</v>
      </c>
      <c r="D3" s="8">
        <v>305</v>
      </c>
      <c r="E3" s="8">
        <v>22272</v>
      </c>
      <c r="F3" s="8">
        <v>22487</v>
      </c>
      <c r="G3" s="8">
        <v>2527</v>
      </c>
      <c r="H3" s="8">
        <v>953</v>
      </c>
      <c r="I3" s="8">
        <v>71542</v>
      </c>
      <c r="J3" s="8">
        <v>46915</v>
      </c>
      <c r="K3" s="8">
        <v>65206</v>
      </c>
      <c r="L3" s="8">
        <v>17457</v>
      </c>
      <c r="M3" s="9" t="s">
        <v>138</v>
      </c>
      <c r="N3" s="9" t="s">
        <v>142</v>
      </c>
      <c r="O3" s="9" t="s">
        <v>151</v>
      </c>
      <c r="P3" s="6" t="s">
        <v>32</v>
      </c>
    </row>
    <row r="4" spans="1:16" ht="135" customHeight="1" x14ac:dyDescent="0.25">
      <c r="A4" s="2" t="s">
        <v>136</v>
      </c>
      <c r="B4" s="3" t="s">
        <v>3</v>
      </c>
      <c r="C4" s="4">
        <v>229302</v>
      </c>
      <c r="D4" s="4">
        <v>292</v>
      </c>
      <c r="E4" s="4">
        <v>24376</v>
      </c>
      <c r="F4" s="4">
        <v>13083</v>
      </c>
      <c r="G4" s="4">
        <v>2539</v>
      </c>
      <c r="H4" s="4">
        <v>923</v>
      </c>
      <c r="I4" s="4">
        <v>73666</v>
      </c>
      <c r="J4" s="4">
        <v>38896</v>
      </c>
      <c r="K4" s="4">
        <v>65423</v>
      </c>
      <c r="L4" s="4">
        <v>15489</v>
      </c>
      <c r="M4" s="5" t="s">
        <v>52</v>
      </c>
      <c r="N4" s="5" t="s">
        <v>143</v>
      </c>
      <c r="O4" s="5" t="s">
        <v>152</v>
      </c>
      <c r="P4" s="2" t="s">
        <v>32</v>
      </c>
    </row>
    <row r="5" spans="1:16" ht="135" customHeight="1" x14ac:dyDescent="0.25">
      <c r="A5" s="6" t="s">
        <v>136</v>
      </c>
      <c r="B5" s="7" t="s">
        <v>4</v>
      </c>
      <c r="C5" s="8">
        <v>229014</v>
      </c>
      <c r="D5" s="8">
        <v>253</v>
      </c>
      <c r="E5" s="8">
        <v>22011</v>
      </c>
      <c r="F5" s="8">
        <v>14464</v>
      </c>
      <c r="G5" s="8">
        <v>2466</v>
      </c>
      <c r="H5" s="8">
        <v>1021</v>
      </c>
      <c r="I5" s="8">
        <v>69148</v>
      </c>
      <c r="J5" s="8">
        <v>43941</v>
      </c>
      <c r="K5" s="8">
        <v>55118</v>
      </c>
      <c r="L5" s="8">
        <v>16445</v>
      </c>
      <c r="M5" s="9" t="s">
        <v>139</v>
      </c>
      <c r="N5" s="9" t="s">
        <v>144</v>
      </c>
      <c r="O5" s="9" t="s">
        <v>153</v>
      </c>
      <c r="P5" s="6" t="s">
        <v>32</v>
      </c>
    </row>
    <row r="6" spans="1:16" ht="135" customHeight="1" x14ac:dyDescent="0.25">
      <c r="A6" s="2" t="s">
        <v>136</v>
      </c>
      <c r="B6" s="3" t="s">
        <v>5</v>
      </c>
      <c r="C6" s="4">
        <v>228760</v>
      </c>
      <c r="D6" s="4">
        <v>295</v>
      </c>
      <c r="E6" s="4">
        <v>16659</v>
      </c>
      <c r="F6" s="4">
        <v>10740</v>
      </c>
      <c r="G6" s="4">
        <v>2420</v>
      </c>
      <c r="H6" s="4">
        <v>902</v>
      </c>
      <c r="I6" s="4">
        <v>45325</v>
      </c>
      <c r="J6" s="4">
        <v>25360</v>
      </c>
      <c r="K6" s="4">
        <v>53442</v>
      </c>
      <c r="L6" s="4">
        <v>13290</v>
      </c>
      <c r="M6" s="5" t="s">
        <v>140</v>
      </c>
      <c r="N6" s="5" t="s">
        <v>145</v>
      </c>
      <c r="O6" s="5" t="s">
        <v>154</v>
      </c>
      <c r="P6" s="2" t="s">
        <v>32</v>
      </c>
    </row>
    <row r="7" spans="1:16" ht="135" customHeight="1" x14ac:dyDescent="0.25">
      <c r="A7" s="6" t="s">
        <v>136</v>
      </c>
      <c r="B7" s="7" t="s">
        <v>6</v>
      </c>
      <c r="C7" s="8">
        <v>228469</v>
      </c>
      <c r="D7" s="8">
        <v>4962</v>
      </c>
      <c r="E7" s="8">
        <v>17579</v>
      </c>
      <c r="F7" s="8">
        <v>35638</v>
      </c>
      <c r="G7" s="8">
        <v>6488</v>
      </c>
      <c r="H7" s="8">
        <v>2703</v>
      </c>
      <c r="I7" s="8">
        <v>45719</v>
      </c>
      <c r="J7" s="8">
        <v>50009</v>
      </c>
      <c r="K7" s="8">
        <v>101364</v>
      </c>
      <c r="L7" s="8">
        <v>28442</v>
      </c>
      <c r="M7" s="9" t="s">
        <v>138</v>
      </c>
      <c r="N7" s="9" t="s">
        <v>146</v>
      </c>
      <c r="O7" s="9" t="s">
        <v>155</v>
      </c>
      <c r="P7" s="6" t="s">
        <v>159</v>
      </c>
    </row>
    <row r="8" spans="1:16" ht="135" customHeight="1" x14ac:dyDescent="0.25">
      <c r="A8" s="2" t="s">
        <v>136</v>
      </c>
      <c r="B8" s="3" t="s">
        <v>7</v>
      </c>
      <c r="C8" s="4">
        <v>223509</v>
      </c>
      <c r="D8" s="4">
        <v>247</v>
      </c>
      <c r="E8" s="4">
        <v>18071</v>
      </c>
      <c r="F8" s="4">
        <v>59736</v>
      </c>
      <c r="G8" s="4">
        <v>2451</v>
      </c>
      <c r="H8" s="4">
        <v>930</v>
      </c>
      <c r="I8" s="4">
        <v>44569</v>
      </c>
      <c r="J8" s="4">
        <v>83459</v>
      </c>
      <c r="K8" s="4">
        <v>58622</v>
      </c>
      <c r="L8" s="4">
        <v>16646</v>
      </c>
      <c r="M8" s="5" t="s">
        <v>12</v>
      </c>
      <c r="N8" s="5" t="s">
        <v>147</v>
      </c>
      <c r="O8" s="5" t="s">
        <v>156</v>
      </c>
      <c r="P8" s="2" t="s">
        <v>159</v>
      </c>
    </row>
    <row r="9" spans="1:16" ht="135" customHeight="1" x14ac:dyDescent="0.25">
      <c r="A9" s="6" t="s">
        <v>136</v>
      </c>
      <c r="B9" s="7" t="s">
        <v>8</v>
      </c>
      <c r="C9" s="8">
        <v>223262</v>
      </c>
      <c r="D9" s="8">
        <v>167</v>
      </c>
      <c r="E9" s="8">
        <v>15753</v>
      </c>
      <c r="F9" s="8">
        <v>104197</v>
      </c>
      <c r="G9" s="8">
        <v>1933</v>
      </c>
      <c r="H9" s="8">
        <v>733</v>
      </c>
      <c r="I9" s="8">
        <v>40109</v>
      </c>
      <c r="J9" s="8">
        <v>173246</v>
      </c>
      <c r="K9" s="8">
        <v>57014</v>
      </c>
      <c r="L9" s="8">
        <v>13952</v>
      </c>
      <c r="M9" s="9" t="s">
        <v>113</v>
      </c>
      <c r="N9" s="9" t="s">
        <v>148</v>
      </c>
      <c r="O9" s="9" t="s">
        <v>157</v>
      </c>
      <c r="P9" s="6" t="s">
        <v>159</v>
      </c>
    </row>
    <row r="10" spans="1:16" ht="135" customHeight="1" x14ac:dyDescent="0.25">
      <c r="A10" s="2" t="s">
        <v>136</v>
      </c>
      <c r="B10" s="3" t="s">
        <v>9</v>
      </c>
      <c r="C10" s="4">
        <v>223096</v>
      </c>
      <c r="D10" s="4">
        <v>197</v>
      </c>
      <c r="E10" s="4">
        <v>14824</v>
      </c>
      <c r="F10" s="4">
        <v>123263</v>
      </c>
      <c r="G10" s="4">
        <v>2070</v>
      </c>
      <c r="H10" s="4">
        <v>733</v>
      </c>
      <c r="I10" s="4">
        <v>38906</v>
      </c>
      <c r="J10" s="4">
        <v>215344</v>
      </c>
      <c r="K10" s="4">
        <v>50071</v>
      </c>
      <c r="L10" s="4">
        <v>12233</v>
      </c>
      <c r="M10" s="5" t="s">
        <v>11</v>
      </c>
      <c r="N10" s="5" t="s">
        <v>149</v>
      </c>
      <c r="O10" s="5" t="s">
        <v>158</v>
      </c>
      <c r="P10" s="2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customWidth="1"/>
    <col min="2" max="2" width="10.7109375" customWidth="1"/>
    <col min="3" max="3" width="16.7109375" customWidth="1"/>
    <col min="4" max="4" width="15.7109375" customWidth="1"/>
    <col min="5" max="6" width="20.7109375" customWidth="1"/>
    <col min="7" max="8" width="18.7109375" customWidth="1"/>
    <col min="9" max="9" width="20.7109375" customWidth="1"/>
    <col min="10" max="10" width="18.7109375" customWidth="1"/>
    <col min="11" max="11" width="16.7109375" customWidth="1"/>
    <col min="12" max="14" width="18.7109375" customWidth="1"/>
    <col min="15" max="15" width="20.7109375" customWidth="1"/>
    <col min="16" max="16" width="60.7109375" customWidth="1"/>
  </cols>
  <sheetData>
    <row r="1" spans="1:16" ht="30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135" customHeight="1" x14ac:dyDescent="0.25">
      <c r="A2" s="2" t="s">
        <v>160</v>
      </c>
      <c r="B2" s="3" t="s">
        <v>1</v>
      </c>
      <c r="C2" s="4">
        <v>499898</v>
      </c>
      <c r="D2" s="4">
        <v>702</v>
      </c>
      <c r="E2" s="4">
        <v>102170</v>
      </c>
      <c r="F2" s="4">
        <v>35452</v>
      </c>
      <c r="G2" s="4">
        <v>21044</v>
      </c>
      <c r="H2" s="4">
        <v>3089</v>
      </c>
      <c r="I2" s="4">
        <v>225417</v>
      </c>
      <c r="J2" s="4">
        <v>74915</v>
      </c>
      <c r="K2" s="4">
        <v>300094</v>
      </c>
      <c r="L2" s="4">
        <v>115881</v>
      </c>
      <c r="M2" s="5" t="s">
        <v>51</v>
      </c>
      <c r="N2" s="5" t="s">
        <v>164</v>
      </c>
      <c r="O2" s="5" t="s">
        <v>173</v>
      </c>
      <c r="P2" s="2" t="s">
        <v>32</v>
      </c>
    </row>
    <row r="3" spans="1:16" ht="135" customHeight="1" x14ac:dyDescent="0.25">
      <c r="A3" s="6" t="s">
        <v>160</v>
      </c>
      <c r="B3" s="7" t="s">
        <v>2</v>
      </c>
      <c r="C3" s="8">
        <v>499197</v>
      </c>
      <c r="D3" s="8">
        <v>848</v>
      </c>
      <c r="E3" s="8">
        <v>62912</v>
      </c>
      <c r="F3" s="8">
        <v>31063</v>
      </c>
      <c r="G3" s="8">
        <v>23275</v>
      </c>
      <c r="H3" s="8">
        <v>3267</v>
      </c>
      <c r="I3" s="8">
        <v>163291</v>
      </c>
      <c r="J3" s="8">
        <v>66976</v>
      </c>
      <c r="K3" s="8">
        <v>377525</v>
      </c>
      <c r="L3" s="8">
        <v>59933</v>
      </c>
      <c r="M3" s="9" t="s">
        <v>161</v>
      </c>
      <c r="N3" s="9" t="s">
        <v>165</v>
      </c>
      <c r="O3" s="9" t="s">
        <v>174</v>
      </c>
      <c r="P3" s="6" t="s">
        <v>32</v>
      </c>
    </row>
    <row r="4" spans="1:16" ht="135" customHeight="1" x14ac:dyDescent="0.25">
      <c r="A4" s="2" t="s">
        <v>160</v>
      </c>
      <c r="B4" s="3" t="s">
        <v>3</v>
      </c>
      <c r="C4" s="4">
        <v>498354</v>
      </c>
      <c r="D4" s="4">
        <v>743</v>
      </c>
      <c r="E4" s="4">
        <v>58685</v>
      </c>
      <c r="F4" s="4">
        <v>30091</v>
      </c>
      <c r="G4" s="4">
        <v>20115</v>
      </c>
      <c r="H4" s="4">
        <v>3048</v>
      </c>
      <c r="I4" s="4">
        <v>145345</v>
      </c>
      <c r="J4" s="4">
        <v>64825</v>
      </c>
      <c r="K4" s="4">
        <v>338948</v>
      </c>
      <c r="L4" s="4">
        <v>61738</v>
      </c>
      <c r="M4" s="5" t="s">
        <v>162</v>
      </c>
      <c r="N4" s="5" t="s">
        <v>166</v>
      </c>
      <c r="O4" s="5" t="s">
        <v>175</v>
      </c>
      <c r="P4" s="2" t="s">
        <v>32</v>
      </c>
    </row>
    <row r="5" spans="1:16" ht="135" customHeight="1" x14ac:dyDescent="0.25">
      <c r="A5" s="6" t="s">
        <v>160</v>
      </c>
      <c r="B5" s="7" t="s">
        <v>4</v>
      </c>
      <c r="C5" s="8">
        <v>497614</v>
      </c>
      <c r="D5" s="8">
        <v>616</v>
      </c>
      <c r="E5" s="8">
        <v>49662</v>
      </c>
      <c r="F5" s="8">
        <v>24813</v>
      </c>
      <c r="G5" s="8">
        <v>19500</v>
      </c>
      <c r="H5" s="8">
        <v>2701</v>
      </c>
      <c r="I5" s="8">
        <v>120143</v>
      </c>
      <c r="J5" s="8">
        <v>58730</v>
      </c>
      <c r="K5" s="8">
        <v>287134</v>
      </c>
      <c r="L5" s="8">
        <v>52207</v>
      </c>
      <c r="M5" s="9" t="s">
        <v>51</v>
      </c>
      <c r="N5" s="9" t="s">
        <v>167</v>
      </c>
      <c r="O5" s="9" t="s">
        <v>176</v>
      </c>
      <c r="P5" s="6" t="s">
        <v>32</v>
      </c>
    </row>
    <row r="6" spans="1:16" ht="135" customHeight="1" x14ac:dyDescent="0.25">
      <c r="A6" s="2" t="s">
        <v>160</v>
      </c>
      <c r="B6" s="3" t="s">
        <v>5</v>
      </c>
      <c r="C6" s="4">
        <v>497000</v>
      </c>
      <c r="D6" s="4">
        <v>632</v>
      </c>
      <c r="E6" s="4">
        <v>40958</v>
      </c>
      <c r="F6" s="4">
        <v>23845</v>
      </c>
      <c r="G6" s="4">
        <v>21488</v>
      </c>
      <c r="H6" s="4">
        <v>2823</v>
      </c>
      <c r="I6" s="4">
        <v>104079</v>
      </c>
      <c r="J6" s="4">
        <v>54259</v>
      </c>
      <c r="K6" s="4">
        <v>302002</v>
      </c>
      <c r="L6" s="4">
        <v>54791</v>
      </c>
      <c r="M6" s="5" t="s">
        <v>163</v>
      </c>
      <c r="N6" s="5" t="s">
        <v>168</v>
      </c>
      <c r="O6" s="5" t="s">
        <v>177</v>
      </c>
      <c r="P6" s="2" t="s">
        <v>32</v>
      </c>
    </row>
    <row r="7" spans="1:16" ht="135" customHeight="1" x14ac:dyDescent="0.25">
      <c r="A7" s="6" t="s">
        <v>160</v>
      </c>
      <c r="B7" s="7" t="s">
        <v>6</v>
      </c>
      <c r="C7" s="8">
        <v>496370</v>
      </c>
      <c r="D7" s="8">
        <v>778</v>
      </c>
      <c r="E7" s="8">
        <v>51160</v>
      </c>
      <c r="F7" s="8">
        <v>32428</v>
      </c>
      <c r="G7" s="8">
        <v>21931</v>
      </c>
      <c r="H7" s="8">
        <v>3254</v>
      </c>
      <c r="I7" s="8">
        <v>120774</v>
      </c>
      <c r="J7" s="8">
        <v>68617</v>
      </c>
      <c r="K7" s="8">
        <v>354526</v>
      </c>
      <c r="L7" s="8">
        <v>59150</v>
      </c>
      <c r="M7" s="9" t="s">
        <v>163</v>
      </c>
      <c r="N7" s="9" t="s">
        <v>169</v>
      </c>
      <c r="O7" s="9" t="s">
        <v>178</v>
      </c>
      <c r="P7" s="6" t="s">
        <v>67</v>
      </c>
    </row>
    <row r="8" spans="1:16" ht="135" customHeight="1" x14ac:dyDescent="0.25">
      <c r="A8" s="2" t="s">
        <v>160</v>
      </c>
      <c r="B8" s="3" t="s">
        <v>7</v>
      </c>
      <c r="C8" s="4">
        <v>495592</v>
      </c>
      <c r="D8" s="4">
        <v>740</v>
      </c>
      <c r="E8" s="4">
        <v>54382</v>
      </c>
      <c r="F8" s="4">
        <v>79453</v>
      </c>
      <c r="G8" s="4">
        <v>20050</v>
      </c>
      <c r="H8" s="4">
        <v>3193</v>
      </c>
      <c r="I8" s="4">
        <v>126192</v>
      </c>
      <c r="J8" s="4">
        <v>162018</v>
      </c>
      <c r="K8" s="4">
        <v>356802</v>
      </c>
      <c r="L8" s="4">
        <v>70853</v>
      </c>
      <c r="M8" s="5" t="s">
        <v>51</v>
      </c>
      <c r="N8" s="5" t="s">
        <v>170</v>
      </c>
      <c r="O8" s="5" t="s">
        <v>179</v>
      </c>
      <c r="P8" s="2" t="s">
        <v>67</v>
      </c>
    </row>
    <row r="9" spans="1:16" ht="135" customHeight="1" x14ac:dyDescent="0.25">
      <c r="A9" s="6" t="s">
        <v>160</v>
      </c>
      <c r="B9" s="7" t="s">
        <v>8</v>
      </c>
      <c r="C9" s="8">
        <v>494852</v>
      </c>
      <c r="D9" s="8">
        <v>468</v>
      </c>
      <c r="E9" s="8">
        <v>43267</v>
      </c>
      <c r="F9" s="8">
        <v>37687</v>
      </c>
      <c r="G9" s="8">
        <v>6519</v>
      </c>
      <c r="H9" s="8">
        <v>1840</v>
      </c>
      <c r="I9" s="8">
        <v>90211</v>
      </c>
      <c r="J9" s="8">
        <v>104926</v>
      </c>
      <c r="K9" s="8">
        <v>202263</v>
      </c>
      <c r="L9" s="8">
        <v>58112</v>
      </c>
      <c r="M9" s="9" t="s">
        <v>12</v>
      </c>
      <c r="N9" s="9" t="s">
        <v>171</v>
      </c>
      <c r="O9" s="9" t="s">
        <v>180</v>
      </c>
      <c r="P9" s="6" t="s">
        <v>67</v>
      </c>
    </row>
    <row r="10" spans="1:16" ht="135" customHeight="1" x14ac:dyDescent="0.25">
      <c r="A10" s="2" t="s">
        <v>160</v>
      </c>
      <c r="B10" s="3" t="s">
        <v>9</v>
      </c>
      <c r="C10" s="4">
        <v>494383</v>
      </c>
      <c r="D10" s="4">
        <v>623</v>
      </c>
      <c r="E10" s="4">
        <v>47377</v>
      </c>
      <c r="F10" s="4">
        <v>58722</v>
      </c>
      <c r="G10" s="4">
        <v>7870</v>
      </c>
      <c r="H10" s="4">
        <v>2219</v>
      </c>
      <c r="I10" s="4">
        <v>102925</v>
      </c>
      <c r="J10" s="4">
        <v>85394</v>
      </c>
      <c r="K10" s="4">
        <v>225356</v>
      </c>
      <c r="L10" s="4">
        <v>59898</v>
      </c>
      <c r="M10" s="5" t="s">
        <v>11</v>
      </c>
      <c r="N10" s="5" t="s">
        <v>172</v>
      </c>
      <c r="O10" s="5" t="s">
        <v>181</v>
      </c>
      <c r="P10" s="2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customWidth="1"/>
    <col min="2" max="2" width="10.7109375" customWidth="1"/>
    <col min="3" max="3" width="16.7109375" customWidth="1"/>
    <col min="4" max="4" width="15.7109375" customWidth="1"/>
    <col min="5" max="6" width="20.7109375" customWidth="1"/>
    <col min="7" max="8" width="18.7109375" customWidth="1"/>
    <col min="9" max="9" width="20.7109375" customWidth="1"/>
    <col min="10" max="10" width="18.7109375" customWidth="1"/>
    <col min="11" max="11" width="16.7109375" customWidth="1"/>
    <col min="12" max="14" width="18.7109375" customWidth="1"/>
    <col min="15" max="15" width="20.7109375" customWidth="1"/>
    <col min="16" max="16" width="60.7109375" customWidth="1"/>
  </cols>
  <sheetData>
    <row r="1" spans="1:16" ht="30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135" customHeight="1" x14ac:dyDescent="0.25">
      <c r="A2" s="2" t="s">
        <v>182</v>
      </c>
      <c r="B2" s="3" t="s">
        <v>1</v>
      </c>
      <c r="C2" s="4">
        <v>275946</v>
      </c>
      <c r="D2" s="4">
        <v>112</v>
      </c>
      <c r="E2" s="4">
        <v>23079</v>
      </c>
      <c r="F2" s="4">
        <v>6922</v>
      </c>
      <c r="G2" s="4">
        <v>3827</v>
      </c>
      <c r="H2" s="4">
        <v>1370</v>
      </c>
      <c r="I2" s="4">
        <v>61920</v>
      </c>
      <c r="J2" s="4">
        <v>22671</v>
      </c>
      <c r="K2" s="4">
        <v>91043</v>
      </c>
      <c r="L2" s="4">
        <v>22924</v>
      </c>
      <c r="M2" s="5" t="s">
        <v>13</v>
      </c>
      <c r="N2" s="5" t="s">
        <v>183</v>
      </c>
      <c r="O2" s="5" t="s">
        <v>192</v>
      </c>
      <c r="P2" s="2" t="s">
        <v>32</v>
      </c>
    </row>
    <row r="3" spans="1:16" ht="135" customHeight="1" x14ac:dyDescent="0.25">
      <c r="A3" s="6" t="s">
        <v>182</v>
      </c>
      <c r="B3" s="7" t="s">
        <v>2</v>
      </c>
      <c r="C3" s="8">
        <v>275834</v>
      </c>
      <c r="D3" s="8">
        <v>145</v>
      </c>
      <c r="E3" s="8">
        <v>28763</v>
      </c>
      <c r="F3" s="8">
        <v>7772</v>
      </c>
      <c r="G3" s="8">
        <v>4902</v>
      </c>
      <c r="H3" s="8">
        <v>1690</v>
      </c>
      <c r="I3" s="8">
        <v>75610</v>
      </c>
      <c r="J3" s="8">
        <v>23759</v>
      </c>
      <c r="K3" s="8">
        <v>137227</v>
      </c>
      <c r="L3" s="8">
        <v>33200</v>
      </c>
      <c r="M3" s="9" t="s">
        <v>10</v>
      </c>
      <c r="N3" s="9" t="s">
        <v>184</v>
      </c>
      <c r="O3" s="9" t="s">
        <v>193</v>
      </c>
      <c r="P3" s="6" t="s">
        <v>32</v>
      </c>
    </row>
    <row r="4" spans="1:16" ht="135" customHeight="1" x14ac:dyDescent="0.25">
      <c r="A4" s="2" t="s">
        <v>182</v>
      </c>
      <c r="B4" s="3" t="s">
        <v>3</v>
      </c>
      <c r="C4" s="4">
        <v>275689</v>
      </c>
      <c r="D4" s="4">
        <v>150</v>
      </c>
      <c r="E4" s="4">
        <v>31191</v>
      </c>
      <c r="F4" s="4">
        <v>8437</v>
      </c>
      <c r="G4" s="4">
        <v>4422</v>
      </c>
      <c r="H4" s="4">
        <v>1599</v>
      </c>
      <c r="I4" s="4">
        <v>76032</v>
      </c>
      <c r="J4" s="4">
        <v>26175</v>
      </c>
      <c r="K4" s="4">
        <v>119576</v>
      </c>
      <c r="L4" s="4">
        <v>31541</v>
      </c>
      <c r="M4" s="5" t="s">
        <v>12</v>
      </c>
      <c r="N4" s="5" t="s">
        <v>185</v>
      </c>
      <c r="O4" s="5" t="s">
        <v>194</v>
      </c>
      <c r="P4" s="2" t="s">
        <v>32</v>
      </c>
    </row>
    <row r="5" spans="1:16" ht="135" customHeight="1" x14ac:dyDescent="0.25">
      <c r="A5" s="6" t="s">
        <v>182</v>
      </c>
      <c r="B5" s="7" t="s">
        <v>4</v>
      </c>
      <c r="C5" s="8">
        <v>275539</v>
      </c>
      <c r="D5" s="8">
        <v>103</v>
      </c>
      <c r="E5" s="8">
        <v>32453</v>
      </c>
      <c r="F5" s="8">
        <v>10472</v>
      </c>
      <c r="G5" s="8">
        <v>3891</v>
      </c>
      <c r="H5" s="8">
        <v>1354</v>
      </c>
      <c r="I5" s="8">
        <v>76635</v>
      </c>
      <c r="J5" s="8">
        <v>29097</v>
      </c>
      <c r="K5" s="8">
        <v>96604</v>
      </c>
      <c r="L5" s="8">
        <v>26903</v>
      </c>
      <c r="M5" s="9" t="s">
        <v>162</v>
      </c>
      <c r="N5" s="9" t="s">
        <v>186</v>
      </c>
      <c r="O5" s="9" t="s">
        <v>195</v>
      </c>
      <c r="P5" s="6" t="s">
        <v>32</v>
      </c>
    </row>
    <row r="6" spans="1:16" ht="135" customHeight="1" x14ac:dyDescent="0.25">
      <c r="A6" s="2" t="s">
        <v>182</v>
      </c>
      <c r="B6" s="3" t="s">
        <v>5</v>
      </c>
      <c r="C6" s="4">
        <v>275436</v>
      </c>
      <c r="D6" s="4">
        <v>136</v>
      </c>
      <c r="E6" s="4">
        <v>22598</v>
      </c>
      <c r="F6" s="4">
        <v>7880</v>
      </c>
      <c r="G6" s="4">
        <v>4100</v>
      </c>
      <c r="H6" s="4">
        <v>1363</v>
      </c>
      <c r="I6" s="4">
        <v>49876</v>
      </c>
      <c r="J6" s="4">
        <v>20340</v>
      </c>
      <c r="K6" s="4">
        <v>95844</v>
      </c>
      <c r="L6" s="4">
        <v>27132</v>
      </c>
      <c r="M6" s="5" t="s">
        <v>69</v>
      </c>
      <c r="N6" s="5" t="s">
        <v>187</v>
      </c>
      <c r="O6" s="5" t="s">
        <v>196</v>
      </c>
      <c r="P6" s="2" t="s">
        <v>32</v>
      </c>
    </row>
    <row r="7" spans="1:16" ht="135" customHeight="1" x14ac:dyDescent="0.25">
      <c r="A7" s="6" t="s">
        <v>182</v>
      </c>
      <c r="B7" s="7" t="s">
        <v>6</v>
      </c>
      <c r="C7" s="8">
        <v>275301</v>
      </c>
      <c r="D7" s="8">
        <v>153</v>
      </c>
      <c r="E7" s="8">
        <v>31769</v>
      </c>
      <c r="F7" s="8">
        <v>60772</v>
      </c>
      <c r="G7" s="8">
        <v>4881</v>
      </c>
      <c r="H7" s="8">
        <v>1513</v>
      </c>
      <c r="I7" s="8">
        <v>73518</v>
      </c>
      <c r="J7" s="8">
        <v>90736</v>
      </c>
      <c r="K7" s="8">
        <v>124132</v>
      </c>
      <c r="L7" s="8">
        <v>25660</v>
      </c>
      <c r="M7" s="9" t="s">
        <v>52</v>
      </c>
      <c r="N7" s="9" t="s">
        <v>188</v>
      </c>
      <c r="O7" s="9" t="s">
        <v>197</v>
      </c>
      <c r="P7" s="6" t="s">
        <v>67</v>
      </c>
    </row>
    <row r="8" spans="1:16" ht="135" customHeight="1" x14ac:dyDescent="0.25">
      <c r="A8" s="2" t="s">
        <v>182</v>
      </c>
      <c r="B8" s="3" t="s">
        <v>7</v>
      </c>
      <c r="C8" s="4">
        <v>275149</v>
      </c>
      <c r="D8" s="4">
        <v>184</v>
      </c>
      <c r="E8" s="4">
        <v>30701</v>
      </c>
      <c r="F8" s="4">
        <v>17696</v>
      </c>
      <c r="G8" s="4">
        <v>5566</v>
      </c>
      <c r="H8" s="4">
        <v>1782</v>
      </c>
      <c r="I8" s="4">
        <v>70976</v>
      </c>
      <c r="J8" s="4">
        <v>44549</v>
      </c>
      <c r="K8" s="4">
        <v>144183</v>
      </c>
      <c r="L8" s="4">
        <v>33568</v>
      </c>
      <c r="M8" s="5" t="s">
        <v>13</v>
      </c>
      <c r="N8" s="5" t="s">
        <v>189</v>
      </c>
      <c r="O8" s="5" t="s">
        <v>198</v>
      </c>
      <c r="P8" s="2" t="s">
        <v>67</v>
      </c>
    </row>
    <row r="9" spans="1:16" ht="135" customHeight="1" x14ac:dyDescent="0.25">
      <c r="A9" s="6" t="s">
        <v>182</v>
      </c>
      <c r="B9" s="7" t="s">
        <v>8</v>
      </c>
      <c r="C9" s="8">
        <v>274965</v>
      </c>
      <c r="D9" s="8">
        <v>337</v>
      </c>
      <c r="E9" s="8">
        <v>31133</v>
      </c>
      <c r="F9" s="8">
        <v>20725</v>
      </c>
      <c r="G9" s="8">
        <v>5314</v>
      </c>
      <c r="H9" s="8">
        <v>1687</v>
      </c>
      <c r="I9" s="8">
        <v>70924</v>
      </c>
      <c r="J9" s="8">
        <v>47907</v>
      </c>
      <c r="K9" s="8">
        <v>157469</v>
      </c>
      <c r="L9" s="8">
        <v>36575</v>
      </c>
      <c r="M9" s="9" t="s">
        <v>13</v>
      </c>
      <c r="N9" s="9" t="s">
        <v>190</v>
      </c>
      <c r="O9" s="9" t="s">
        <v>199</v>
      </c>
      <c r="P9" s="6" t="s">
        <v>67</v>
      </c>
    </row>
    <row r="10" spans="1:16" ht="135" customHeight="1" x14ac:dyDescent="0.25">
      <c r="A10" s="2" t="s">
        <v>182</v>
      </c>
      <c r="B10" s="3" t="s">
        <v>9</v>
      </c>
      <c r="C10" s="4">
        <v>274630</v>
      </c>
      <c r="D10" s="4">
        <v>136</v>
      </c>
      <c r="E10" s="4">
        <v>36353</v>
      </c>
      <c r="F10" s="4">
        <v>16066</v>
      </c>
      <c r="G10" s="4">
        <v>5956</v>
      </c>
      <c r="H10" s="4">
        <v>1831</v>
      </c>
      <c r="I10" s="4">
        <v>85295</v>
      </c>
      <c r="J10" s="4">
        <v>42534</v>
      </c>
      <c r="K10" s="4">
        <v>174462</v>
      </c>
      <c r="L10" s="4">
        <v>35941</v>
      </c>
      <c r="M10" s="5" t="s">
        <v>11</v>
      </c>
      <c r="N10" s="5" t="s">
        <v>191</v>
      </c>
      <c r="O10" s="5" t="s">
        <v>200</v>
      </c>
      <c r="P10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China</vt:lpstr>
      <vt:lpstr>Hong Kong</vt:lpstr>
      <vt:lpstr>Japan</vt:lpstr>
      <vt:lpstr>Macau</vt:lpstr>
      <vt:lpstr>Sheet1</vt:lpstr>
      <vt:lpstr>Philippines</vt:lpstr>
      <vt:lpstr>Singapore</vt:lpstr>
      <vt:lpstr>Taiwan</vt:lpstr>
      <vt:lpstr>Thailand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Lena Lee</cp:lastModifiedBy>
  <dcterms:created xsi:type="dcterms:W3CDTF">2026-10-07T01:18:44Z</dcterms:created>
  <dcterms:modified xsi:type="dcterms:W3CDTF">2026-10-07T02:20:12Z</dcterms:modified>
</cp:coreProperties>
</file>